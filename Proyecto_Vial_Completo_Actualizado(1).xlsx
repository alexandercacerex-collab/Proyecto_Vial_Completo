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E339869-7885-4B4B-878B-DB612EE8D16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Rendimientos y Cuadrillas" sheetId="1" r:id="rId1"/>
    <sheet name="Histograma 720 dias" sheetId="2" r:id="rId2"/>
    <sheet name="Curva S HH" sheetId="3" r:id="rId3"/>
    <sheet name="Recalculo roca fija" sheetId="4" r:id="rId4"/>
    <sheet name="Resumen actualiz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6" i="1"/>
  <c r="C16" i="2" l="1"/>
  <c r="C23" i="4"/>
  <c r="C22" i="4"/>
  <c r="C21" i="4"/>
  <c r="G12" i="4"/>
  <c r="G7" i="4"/>
  <c r="G8" i="4" s="1"/>
  <c r="G5" i="4"/>
  <c r="G6" i="4" s="1"/>
  <c r="G4" i="4"/>
  <c r="AG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F29" i="2"/>
  <c r="E29" i="2"/>
  <c r="G29" i="2" s="1"/>
  <c r="D29" i="2"/>
  <c r="C29" i="2"/>
  <c r="B29" i="2"/>
  <c r="A29" i="2"/>
  <c r="AG28" i="2"/>
  <c r="AD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F28" i="2"/>
  <c r="E28" i="2"/>
  <c r="G28" i="2" s="1"/>
  <c r="D28" i="2"/>
  <c r="C28" i="2"/>
  <c r="B28" i="2"/>
  <c r="A28" i="2"/>
  <c r="AG27" i="2"/>
  <c r="AF27" i="2"/>
  <c r="AE27" i="2"/>
  <c r="AD27" i="2"/>
  <c r="AB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F27" i="2"/>
  <c r="E27" i="2"/>
  <c r="G27" i="2" s="1"/>
  <c r="AC27" i="2" s="1"/>
  <c r="D27" i="2"/>
  <c r="C27" i="2"/>
  <c r="B27" i="2"/>
  <c r="A27" i="2"/>
  <c r="AG26" i="2"/>
  <c r="AF26" i="2"/>
  <c r="AE26" i="2"/>
  <c r="AD26" i="2"/>
  <c r="AC26" i="2"/>
  <c r="AB26" i="2"/>
  <c r="AA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F26" i="2"/>
  <c r="E26" i="2"/>
  <c r="G26" i="2" s="1"/>
  <c r="Z26" i="2" s="1"/>
  <c r="D26" i="2"/>
  <c r="C26" i="2"/>
  <c r="B26" i="2"/>
  <c r="A26" i="2"/>
  <c r="AG25" i="2"/>
  <c r="AF25" i="2"/>
  <c r="AE25" i="2"/>
  <c r="AD25" i="2"/>
  <c r="AC25" i="2"/>
  <c r="AB25" i="2"/>
  <c r="AA25" i="2"/>
  <c r="Z25" i="2"/>
  <c r="Y25" i="2"/>
  <c r="X25" i="2"/>
  <c r="U25" i="2"/>
  <c r="T25" i="2"/>
  <c r="S25" i="2"/>
  <c r="R25" i="2"/>
  <c r="Q25" i="2"/>
  <c r="P25" i="2"/>
  <c r="O25" i="2"/>
  <c r="N25" i="2"/>
  <c r="M25" i="2"/>
  <c r="L25" i="2"/>
  <c r="K25" i="2"/>
  <c r="J25" i="2"/>
  <c r="F25" i="2"/>
  <c r="E25" i="2"/>
  <c r="G25" i="2" s="1"/>
  <c r="D25" i="2"/>
  <c r="C25" i="2"/>
  <c r="B25" i="2"/>
  <c r="A25" i="2"/>
  <c r="AG24" i="2"/>
  <c r="AF24" i="2"/>
  <c r="AE24" i="2"/>
  <c r="AD24" i="2"/>
  <c r="AC24" i="2"/>
  <c r="AB24" i="2"/>
  <c r="AA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F24" i="2"/>
  <c r="E24" i="2"/>
  <c r="G24" i="2" s="1"/>
  <c r="D24" i="2"/>
  <c r="C24" i="2"/>
  <c r="B24" i="2"/>
  <c r="A24" i="2"/>
  <c r="AG23" i="2"/>
  <c r="AF23" i="2"/>
  <c r="AE23" i="2"/>
  <c r="AD23" i="2"/>
  <c r="AC23" i="2"/>
  <c r="AB23" i="2"/>
  <c r="AA23" i="2"/>
  <c r="Z23" i="2"/>
  <c r="Y23" i="2"/>
  <c r="T23" i="2"/>
  <c r="S23" i="2"/>
  <c r="R23" i="2"/>
  <c r="Q23" i="2"/>
  <c r="P23" i="2"/>
  <c r="O23" i="2"/>
  <c r="N23" i="2"/>
  <c r="M23" i="2"/>
  <c r="L23" i="2"/>
  <c r="K23" i="2"/>
  <c r="J23" i="2"/>
  <c r="G23" i="2"/>
  <c r="F23" i="2"/>
  <c r="E23" i="2"/>
  <c r="D23" i="2"/>
  <c r="C23" i="2"/>
  <c r="B23" i="2"/>
  <c r="A23" i="2"/>
  <c r="AG22" i="2"/>
  <c r="AF22" i="2"/>
  <c r="AE22" i="2"/>
  <c r="AD22" i="2"/>
  <c r="AC22" i="2"/>
  <c r="AB22" i="2"/>
  <c r="AA22" i="2"/>
  <c r="Z22" i="2"/>
  <c r="Y22" i="2"/>
  <c r="X22" i="2"/>
  <c r="W22" i="2"/>
  <c r="R22" i="2"/>
  <c r="Q22" i="2"/>
  <c r="P22" i="2"/>
  <c r="O22" i="2"/>
  <c r="N22" i="2"/>
  <c r="M22" i="2"/>
  <c r="L22" i="2"/>
  <c r="K22" i="2"/>
  <c r="J22" i="2"/>
  <c r="F22" i="2"/>
  <c r="E22" i="2"/>
  <c r="G22" i="2" s="1"/>
  <c r="D22" i="2"/>
  <c r="C22" i="2"/>
  <c r="B22" i="2"/>
  <c r="A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L21" i="2"/>
  <c r="K21" i="2"/>
  <c r="J21" i="2"/>
  <c r="F21" i="2"/>
  <c r="E21" i="2"/>
  <c r="G21" i="2" s="1"/>
  <c r="D21" i="2"/>
  <c r="C21" i="2"/>
  <c r="B21" i="2"/>
  <c r="A21" i="2"/>
  <c r="AG20" i="2"/>
  <c r="AF20" i="2"/>
  <c r="AE20" i="2"/>
  <c r="AD20" i="2"/>
  <c r="AC20" i="2"/>
  <c r="AB20" i="2"/>
  <c r="AA20" i="2"/>
  <c r="Z20" i="2"/>
  <c r="Y20" i="2"/>
  <c r="X20" i="2"/>
  <c r="W20" i="2"/>
  <c r="V20" i="2"/>
  <c r="Q20" i="2"/>
  <c r="P20" i="2"/>
  <c r="O20" i="2"/>
  <c r="N20" i="2"/>
  <c r="M20" i="2"/>
  <c r="L20" i="2"/>
  <c r="K20" i="2"/>
  <c r="J20" i="2"/>
  <c r="F20" i="2"/>
  <c r="E20" i="2"/>
  <c r="G20" i="2" s="1"/>
  <c r="D20" i="2"/>
  <c r="C20" i="2"/>
  <c r="B20" i="2"/>
  <c r="A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O19" i="2"/>
  <c r="N19" i="2"/>
  <c r="M19" i="2"/>
  <c r="L19" i="2"/>
  <c r="K19" i="2"/>
  <c r="J19" i="2"/>
  <c r="F19" i="2"/>
  <c r="E19" i="2"/>
  <c r="G19" i="2" s="1"/>
  <c r="D19" i="2"/>
  <c r="C19" i="2"/>
  <c r="B19" i="2"/>
  <c r="A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N18" i="2"/>
  <c r="M18" i="2"/>
  <c r="L18" i="2"/>
  <c r="K18" i="2"/>
  <c r="J18" i="2"/>
  <c r="F18" i="2"/>
  <c r="E18" i="2"/>
  <c r="G18" i="2" s="1"/>
  <c r="D18" i="2"/>
  <c r="C18" i="2"/>
  <c r="B18" i="2"/>
  <c r="A18" i="2"/>
  <c r="F17" i="2"/>
  <c r="E17" i="2"/>
  <c r="G17" i="2" s="1"/>
  <c r="Q17" i="2" s="1"/>
  <c r="D17" i="2"/>
  <c r="C17" i="2"/>
  <c r="AJ17" i="2" s="1"/>
  <c r="AK17" i="2" s="1"/>
  <c r="AM17" i="2" s="1"/>
  <c r="B17" i="2"/>
  <c r="A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L16" i="2"/>
  <c r="K16" i="2"/>
  <c r="J16" i="2"/>
  <c r="F16" i="2"/>
  <c r="E16" i="2"/>
  <c r="G16" i="2" s="1"/>
  <c r="D16" i="2"/>
  <c r="B16" i="2"/>
  <c r="A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M15" i="2"/>
  <c r="K15" i="2"/>
  <c r="J15" i="2"/>
  <c r="F15" i="2"/>
  <c r="E15" i="2"/>
  <c r="G15" i="2" s="1"/>
  <c r="D15" i="2"/>
  <c r="C15" i="2"/>
  <c r="B15" i="2"/>
  <c r="A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F14" i="2"/>
  <c r="E14" i="2"/>
  <c r="G14" i="2" s="1"/>
  <c r="D14" i="2"/>
  <c r="C14" i="2"/>
  <c r="B14" i="2"/>
  <c r="A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AH13" i="2" s="1"/>
  <c r="F13" i="2"/>
  <c r="E13" i="2"/>
  <c r="G13" i="2" s="1"/>
  <c r="D13" i="2"/>
  <c r="C13" i="2"/>
  <c r="B13" i="2"/>
  <c r="A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F12" i="2"/>
  <c r="E12" i="2"/>
  <c r="G12" i="2" s="1"/>
  <c r="J12" i="2" s="1"/>
  <c r="D12" i="2"/>
  <c r="C12" i="2"/>
  <c r="B12" i="2"/>
  <c r="A12" i="2"/>
  <c r="F11" i="2"/>
  <c r="E11" i="2"/>
  <c r="G11" i="2" s="1"/>
  <c r="D11" i="2"/>
  <c r="C11" i="2"/>
  <c r="B11" i="2"/>
  <c r="A11" i="2"/>
  <c r="X10" i="2"/>
  <c r="F10" i="2"/>
  <c r="E10" i="2"/>
  <c r="G10" i="2" s="1"/>
  <c r="D10" i="2"/>
  <c r="C10" i="2"/>
  <c r="B10" i="2"/>
  <c r="A10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F9" i="2"/>
  <c r="E9" i="2"/>
  <c r="G9" i="2" s="1"/>
  <c r="J9" i="2" s="1"/>
  <c r="D9" i="2"/>
  <c r="C9" i="2"/>
  <c r="B9" i="2"/>
  <c r="A9" i="2"/>
  <c r="M29" i="1"/>
  <c r="L29" i="1"/>
  <c r="M28" i="1"/>
  <c r="L28" i="1"/>
  <c r="M27" i="1"/>
  <c r="L27" i="1"/>
  <c r="M26" i="1"/>
  <c r="L26" i="1"/>
  <c r="M24" i="1"/>
  <c r="L24" i="1"/>
  <c r="M23" i="1"/>
  <c r="L23" i="1"/>
  <c r="M22" i="1"/>
  <c r="L22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0" i="1"/>
  <c r="L10" i="1"/>
  <c r="M9" i="1"/>
  <c r="L9" i="1"/>
  <c r="M8" i="1"/>
  <c r="L8" i="1"/>
  <c r="M7" i="1"/>
  <c r="L7" i="1"/>
  <c r="M6" i="1"/>
  <c r="L6" i="1"/>
  <c r="U22" i="2" l="1"/>
  <c r="T22" i="2"/>
  <c r="V22" i="2"/>
  <c r="S22" i="2"/>
  <c r="AH22" i="2" s="1"/>
  <c r="T19" i="2"/>
  <c r="S19" i="2"/>
  <c r="P19" i="2"/>
  <c r="R19" i="2"/>
  <c r="Q19" i="2"/>
  <c r="S18" i="2"/>
  <c r="R18" i="2"/>
  <c r="Q18" i="2"/>
  <c r="P18" i="2"/>
  <c r="O18" i="2"/>
  <c r="AH18" i="2" s="1"/>
  <c r="AH9" i="2"/>
  <c r="U20" i="2"/>
  <c r="T20" i="2"/>
  <c r="S20" i="2"/>
  <c r="R20" i="2"/>
  <c r="AH20" i="2" s="1"/>
  <c r="S21" i="2"/>
  <c r="N21" i="2"/>
  <c r="R21" i="2"/>
  <c r="Q21" i="2"/>
  <c r="P21" i="2"/>
  <c r="O21" i="2"/>
  <c r="M21" i="2"/>
  <c r="AH21" i="2" s="1"/>
  <c r="D21" i="4"/>
  <c r="H21" i="4" s="1"/>
  <c r="AF31" i="2"/>
  <c r="B32" i="3" s="1"/>
  <c r="C32" i="3" s="1"/>
  <c r="AG31" i="2"/>
  <c r="B33" i="3" s="1"/>
  <c r="C33" i="3" s="1"/>
  <c r="AG10" i="2"/>
  <c r="AD10" i="2"/>
  <c r="AA10" i="2"/>
  <c r="Z10" i="2"/>
  <c r="AC10" i="2"/>
  <c r="AB10" i="2"/>
  <c r="AB31" i="2" s="1"/>
  <c r="B28" i="3" s="1"/>
  <c r="C28" i="3" s="1"/>
  <c r="Y10" i="2"/>
  <c r="AF10" i="2"/>
  <c r="AE10" i="2"/>
  <c r="AE31" i="2" s="1"/>
  <c r="B31" i="3" s="1"/>
  <c r="C31" i="3" s="1"/>
  <c r="U10" i="2"/>
  <c r="T10" i="2"/>
  <c r="S10" i="2"/>
  <c r="R10" i="2"/>
  <c r="Q10" i="2"/>
  <c r="P10" i="2"/>
  <c r="O10" i="2"/>
  <c r="N10" i="2"/>
  <c r="J10" i="2"/>
  <c r="J31" i="2" s="1"/>
  <c r="B10" i="3" s="1"/>
  <c r="K10" i="2"/>
  <c r="AF28" i="2"/>
  <c r="AE28" i="2"/>
  <c r="L10" i="2"/>
  <c r="M10" i="2"/>
  <c r="M31" i="2" s="1"/>
  <c r="B13" i="3" s="1"/>
  <c r="C13" i="3" s="1"/>
  <c r="AH28" i="2"/>
  <c r="AH23" i="2"/>
  <c r="K12" i="2"/>
  <c r="AH12" i="2" s="1"/>
  <c r="AF29" i="2"/>
  <c r="AE29" i="2"/>
  <c r="K31" i="2"/>
  <c r="B11" i="3" s="1"/>
  <c r="C11" i="3" s="1"/>
  <c r="L31" i="2"/>
  <c r="B12" i="3" s="1"/>
  <c r="C12" i="3" s="1"/>
  <c r="V10" i="2"/>
  <c r="W10" i="2"/>
  <c r="X23" i="2"/>
  <c r="W23" i="2"/>
  <c r="V23" i="2"/>
  <c r="U23" i="2"/>
  <c r="AH26" i="2"/>
  <c r="N17" i="2"/>
  <c r="AH17" i="2" s="1"/>
  <c r="W25" i="2"/>
  <c r="V25" i="2"/>
  <c r="AH25" i="2" s="1"/>
  <c r="AF11" i="2"/>
  <c r="AE11" i="2"/>
  <c r="AC11" i="2"/>
  <c r="AC31" i="2" s="1"/>
  <c r="B29" i="3" s="1"/>
  <c r="C29" i="3" s="1"/>
  <c r="AB11" i="2"/>
  <c r="Y11" i="2"/>
  <c r="AG11" i="2"/>
  <c r="AD11" i="2"/>
  <c r="AD31" i="2" s="1"/>
  <c r="B30" i="3" s="1"/>
  <c r="C30" i="3" s="1"/>
  <c r="AA11" i="2"/>
  <c r="Z11" i="2"/>
  <c r="Z31" i="2" s="1"/>
  <c r="B26" i="3" s="1"/>
  <c r="C26" i="3" s="1"/>
  <c r="U11" i="2"/>
  <c r="T11" i="2"/>
  <c r="S11" i="2"/>
  <c r="R11" i="2"/>
  <c r="Q11" i="2"/>
  <c r="P11" i="2"/>
  <c r="O11" i="2"/>
  <c r="N11" i="2"/>
  <c r="O17" i="2"/>
  <c r="P17" i="2"/>
  <c r="J11" i="2"/>
  <c r="P16" i="2"/>
  <c r="O16" i="2"/>
  <c r="N16" i="2"/>
  <c r="K11" i="2"/>
  <c r="L11" i="2"/>
  <c r="M11" i="2"/>
  <c r="AH19" i="2"/>
  <c r="Z24" i="2"/>
  <c r="Y24" i="2"/>
  <c r="X24" i="2"/>
  <c r="W24" i="2"/>
  <c r="Y31" i="2"/>
  <c r="B25" i="3" s="1"/>
  <c r="C25" i="3" s="1"/>
  <c r="V11" i="2"/>
  <c r="V31" i="2" s="1"/>
  <c r="B22" i="3" s="1"/>
  <c r="C22" i="3" s="1"/>
  <c r="AB29" i="2"/>
  <c r="W11" i="2"/>
  <c r="W31" i="2" s="1"/>
  <c r="B23" i="3" s="1"/>
  <c r="C23" i="3" s="1"/>
  <c r="P15" i="2"/>
  <c r="O15" i="2"/>
  <c r="N15" i="2"/>
  <c r="M16" i="2"/>
  <c r="AH16" i="2" s="1"/>
  <c r="AH24" i="2"/>
  <c r="AC29" i="2"/>
  <c r="AH29" i="2" s="1"/>
  <c r="AA31" i="2"/>
  <c r="B27" i="3" s="1"/>
  <c r="C27" i="3" s="1"/>
  <c r="X11" i="2"/>
  <c r="X31" i="2" s="1"/>
  <c r="B24" i="3" s="1"/>
  <c r="C24" i="3" s="1"/>
  <c r="AD29" i="2"/>
  <c r="G9" i="4"/>
  <c r="AB28" i="2"/>
  <c r="AH14" i="2"/>
  <c r="L15" i="2"/>
  <c r="AH15" i="2" s="1"/>
  <c r="AA27" i="2"/>
  <c r="AH27" i="2" s="1"/>
  <c r="AC28" i="2"/>
  <c r="D23" i="4"/>
  <c r="H23" i="4" s="1"/>
  <c r="D22" i="4"/>
  <c r="H22" i="4" s="1"/>
  <c r="C10" i="3" l="1"/>
  <c r="O31" i="2"/>
  <c r="B15" i="3" s="1"/>
  <c r="C15" i="3" s="1"/>
  <c r="E23" i="4"/>
  <c r="F23" i="4" s="1"/>
  <c r="G23" i="4" s="1"/>
  <c r="E22" i="4"/>
  <c r="F22" i="4" s="1"/>
  <c r="G22" i="4" s="1"/>
  <c r="T31" i="2"/>
  <c r="B20" i="3" s="1"/>
  <c r="C20" i="3" s="1"/>
  <c r="U31" i="2"/>
  <c r="B21" i="3" s="1"/>
  <c r="C21" i="3" s="1"/>
  <c r="AH10" i="2"/>
  <c r="N31" i="2"/>
  <c r="B14" i="3" s="1"/>
  <c r="C14" i="3" s="1"/>
  <c r="R31" i="2"/>
  <c r="B18" i="3" s="1"/>
  <c r="C18" i="3" s="1"/>
  <c r="E21" i="4"/>
  <c r="F21" i="4" s="1"/>
  <c r="G21" i="4" s="1"/>
  <c r="Q31" i="2"/>
  <c r="B17" i="3" s="1"/>
  <c r="C17" i="3" s="1"/>
  <c r="G15" i="4"/>
  <c r="G16" i="4" s="1"/>
  <c r="G17" i="4" s="1"/>
  <c r="G10" i="4"/>
  <c r="G11" i="4" s="1"/>
  <c r="G13" i="4" s="1"/>
  <c r="G14" i="4" s="1"/>
  <c r="P31" i="2"/>
  <c r="B16" i="3" s="1"/>
  <c r="C16" i="3" s="1"/>
  <c r="AH31" i="2"/>
  <c r="S31" i="2"/>
  <c r="B19" i="3" s="1"/>
  <c r="C19" i="3" s="1"/>
  <c r="AH11" i="2"/>
  <c r="I5" i="3" l="1"/>
  <c r="I6" i="3"/>
  <c r="C34" i="3"/>
  <c r="D10" i="3"/>
  <c r="I4" i="3"/>
  <c r="E14" i="3" s="1"/>
  <c r="E26" i="3" l="1"/>
  <c r="E29" i="3"/>
  <c r="E28" i="3"/>
  <c r="E12" i="3"/>
  <c r="E32" i="3"/>
  <c r="E23" i="3"/>
  <c r="E22" i="3"/>
  <c r="E13" i="3"/>
  <c r="E24" i="3"/>
  <c r="E30" i="3"/>
  <c r="E31" i="3"/>
  <c r="E27" i="3"/>
  <c r="E25" i="3"/>
  <c r="E11" i="3"/>
  <c r="E33" i="3"/>
  <c r="D11" i="3"/>
  <c r="F10" i="3"/>
  <c r="E10" i="3"/>
  <c r="E19" i="3"/>
  <c r="E15" i="3"/>
  <c r="E21" i="3"/>
  <c r="E18" i="3"/>
  <c r="E17" i="3"/>
  <c r="E20" i="3"/>
  <c r="E16" i="3"/>
  <c r="E34" i="3" l="1"/>
  <c r="D12" i="3"/>
  <c r="F11" i="3"/>
  <c r="D13" i="3" l="1"/>
  <c r="F12" i="3"/>
  <c r="D14" i="3" l="1"/>
  <c r="F13" i="3"/>
  <c r="D15" i="3" l="1"/>
  <c r="F14" i="3"/>
  <c r="D16" i="3" l="1"/>
  <c r="F15" i="3"/>
  <c r="D17" i="3" l="1"/>
  <c r="F16" i="3"/>
  <c r="D18" i="3" l="1"/>
  <c r="F17" i="3"/>
  <c r="D19" i="3" l="1"/>
  <c r="F18" i="3"/>
  <c r="D20" i="3" l="1"/>
  <c r="F19" i="3"/>
  <c r="F20" i="3" l="1"/>
  <c r="D21" i="3"/>
  <c r="F21" i="3" l="1"/>
  <c r="D22" i="3"/>
  <c r="D23" i="3" l="1"/>
  <c r="F22" i="3"/>
  <c r="F23" i="3" l="1"/>
  <c r="D24" i="3"/>
  <c r="D25" i="3" l="1"/>
  <c r="F24" i="3"/>
  <c r="F25" i="3" l="1"/>
  <c r="D26" i="3"/>
  <c r="F26" i="3" l="1"/>
  <c r="D27" i="3"/>
  <c r="F27" i="3" l="1"/>
  <c r="D28" i="3"/>
  <c r="D29" i="3" l="1"/>
  <c r="F28" i="3"/>
  <c r="D30" i="3" l="1"/>
  <c r="F29" i="3"/>
  <c r="D31" i="3" l="1"/>
  <c r="F30" i="3"/>
  <c r="F31" i="3" l="1"/>
  <c r="D32" i="3"/>
  <c r="D33" i="3" l="1"/>
  <c r="F32" i="3"/>
  <c r="D34" i="3" l="1"/>
  <c r="F33" i="3"/>
  <c r="F34" i="3" s="1"/>
</calcChain>
</file>

<file path=xl/sharedStrings.xml><?xml version="1.0" encoding="utf-8"?>
<sst xmlns="http://schemas.openxmlformats.org/spreadsheetml/2006/main" count="368" uniqueCount="291">
  <si>
    <t>MATRIZ DE RENDIMIENTOS Y CUADRILLAS DE TRABAJO</t>
  </si>
  <si>
    <t>PROYECTO VIAL - COMPOSICIÓN DE CUADRILLAS, RENDIMIENTO DIARIO Y RECURSOS (JORNADA DE 8 HRS/DÍA)</t>
  </si>
  <si>
    <t>Item</t>
  </si>
  <si>
    <t>Descripción de la Partida</t>
  </si>
  <si>
    <t>Unid.</t>
  </si>
  <si>
    <t>Rendimiento Diario (Día)</t>
  </si>
  <si>
    <t>Capataz (hh)</t>
  </si>
  <si>
    <t>Operario (hh)</t>
  </si>
  <si>
    <t>Oficial (hh)</t>
  </si>
  <si>
    <t>Peón (hh)</t>
  </si>
  <si>
    <t>Equipos / Maquinaria Principal</t>
  </si>
  <si>
    <t>N° Cuadrillas Estimadas</t>
  </si>
  <si>
    <t>Ruta Crítica</t>
  </si>
  <si>
    <t>01. TRABAJOS PRELIMINARES</t>
  </si>
  <si>
    <t>1.01</t>
  </si>
  <si>
    <t>Movilización y desmovilización de equipo</t>
  </si>
  <si>
    <t>GLB</t>
  </si>
  <si>
    <t>1.00</t>
  </si>
  <si>
    <t>Cama baja, Tráiler</t>
  </si>
  <si>
    <t>Sí</t>
  </si>
  <si>
    <t>1.02</t>
  </si>
  <si>
    <t>Topografía y georreferenciación</t>
  </si>
  <si>
    <t>KM/día</t>
  </si>
  <si>
    <t>0.50</t>
  </si>
  <si>
    <t>Estación Total, GPS Diferencial</t>
  </si>
  <si>
    <t>1.03</t>
  </si>
  <si>
    <t>Mantenimiento de tránsito y seg. vial</t>
  </si>
  <si>
    <t>MES</t>
  </si>
  <si>
    <t>Camioneta, Señalización temporal</t>
  </si>
  <si>
    <t>1.04</t>
  </si>
  <si>
    <t>Campamento y patio de máquinas</t>
  </si>
  <si>
    <t>M2/día</t>
  </si>
  <si>
    <t>50.00</t>
  </si>
  <si>
    <t>Herramientas manuales, Camión</t>
  </si>
  <si>
    <t>No</t>
  </si>
  <si>
    <t>1.05</t>
  </si>
  <si>
    <t>Cartel de obra 2.40 x 3.60 m</t>
  </si>
  <si>
    <t>UND/día</t>
  </si>
  <si>
    <t>Herramientas manuales</t>
  </si>
  <si>
    <t>02. MOVIMIENTO DE TIERRAS</t>
  </si>
  <si>
    <t>2.01</t>
  </si>
  <si>
    <t>Desbroce y limpieza en zonas no boscosas</t>
  </si>
  <si>
    <t>HA/día</t>
  </si>
  <si>
    <t>0.25</t>
  </si>
  <si>
    <t>Tractor de Orugas D8T, Cargador</t>
  </si>
  <si>
    <t>2.02</t>
  </si>
  <si>
    <t>Excavación en tierra suelta</t>
  </si>
  <si>
    <t>M3/día</t>
  </si>
  <si>
    <t>750.00</t>
  </si>
  <si>
    <t>Excavadora 220HP, 4 Camiones Volquete 15m3</t>
  </si>
  <si>
    <t>2.03</t>
  </si>
  <si>
    <t>Excavación en roca suelta</t>
  </si>
  <si>
    <t>400.00</t>
  </si>
  <si>
    <t>Excavadora c/ Martillo, Volquetes</t>
  </si>
  <si>
    <t>2.04</t>
  </si>
  <si>
    <t>Excavación en roca fija</t>
  </si>
  <si>
    <t>Compresora, Perforadora, Volquetes</t>
  </si>
  <si>
    <t>2.05</t>
  </si>
  <si>
    <t>Terraplenes con material propio</t>
  </si>
  <si>
    <t>450.00</t>
  </si>
  <si>
    <t>Motoniveladora, Rodillo 10T, Camión Cister.</t>
  </si>
  <si>
    <t>2.06</t>
  </si>
  <si>
    <t>Terraplenes con material de cantera</t>
  </si>
  <si>
    <t>350.00</t>
  </si>
  <si>
    <t>Cargador, Motoniveladora, Rodillo, Volquetes</t>
  </si>
  <si>
    <t>2.07</t>
  </si>
  <si>
    <t>Mejoramiento a nivel de subrasante</t>
  </si>
  <si>
    <t>2100.00</t>
  </si>
  <si>
    <t>Motoniveladora, Rodillo, Cister.</t>
  </si>
  <si>
    <t>2.08</t>
  </si>
  <si>
    <t>Conformación y acomodo de DME</t>
  </si>
  <si>
    <t>550.00</t>
  </si>
  <si>
    <t>Tractor de Orugas, Motoniveladora</t>
  </si>
  <si>
    <t>2.09</t>
  </si>
  <si>
    <t>Perfilado y compactado en zonas de corte</t>
  </si>
  <si>
    <t>1850.00</t>
  </si>
  <si>
    <t>Motoniveladora, Rodillo Lisa 10T</t>
  </si>
  <si>
    <t>03. SUBBASES Y BASES</t>
  </si>
  <si>
    <t>3.01</t>
  </si>
  <si>
    <t>Subbase Granular (e=0.20 m)</t>
  </si>
  <si>
    <t>Motoniveladora, Rodillo 12T, Cister., Volquetes</t>
  </si>
  <si>
    <t>3.02</t>
  </si>
  <si>
    <t>Base Granular (e=0.20 m)</t>
  </si>
  <si>
    <t>600.00</t>
  </si>
  <si>
    <t>3.03</t>
  </si>
  <si>
    <t>Instalación de planta de asfalto y chancadora</t>
  </si>
  <si>
    <t>Grúa 30T, Herramientas especiales</t>
  </si>
  <si>
    <t>04. PAVIMENTOS FLEXIBLES</t>
  </si>
  <si>
    <t>4.01</t>
  </si>
  <si>
    <t>Imprimación Asfáltica</t>
  </si>
  <si>
    <t>7500.00</t>
  </si>
  <si>
    <t>Camión Imprimador / Cisterna de Asfalto</t>
  </si>
  <si>
    <t>4.02</t>
  </si>
  <si>
    <t>Riego de Liga</t>
  </si>
  <si>
    <t>10000.00</t>
  </si>
  <si>
    <t>Camión Imprimador</t>
  </si>
  <si>
    <t>4.03</t>
  </si>
  <si>
    <t>Pavimento de concreto asfáltico en caliente</t>
  </si>
  <si>
    <t>2000.00</t>
  </si>
  <si>
    <t>Pavimentadora (Finisher), Rodillo Neumático, Rodillo Tándem</t>
  </si>
  <si>
    <t>4.04</t>
  </si>
  <si>
    <t>Cemento Asfáltico Modificado con Polímeros</t>
  </si>
  <si>
    <t>GLN/día</t>
  </si>
  <si>
    <t>Planta de Asfalto / Tanque de Almacenamiento</t>
  </si>
  <si>
    <t>Rendimiento Total Efectivo</t>
  </si>
  <si>
    <t>Personal Equivalente / Día</t>
  </si>
  <si>
    <t>Observación</t>
  </si>
  <si>
    <t>Recalculado por volumen 112,854.85 m³, 14 días de retraso y 75% de eficiencia. Rendimiento por cuadrilla = 187.50 m³/día; 6 cuadrillas; capacidad total = 1,125 m³/día; personal equivalente = 7.5 personas/día.</t>
  </si>
  <si>
    <t>HISTOGRAMA DE PERSONAL – PROYECTO VIAL (720 DÍAS / 24 MESES)</t>
  </si>
  <si>
    <t>PARÁMETROS</t>
  </si>
  <si>
    <t>Valor</t>
  </si>
  <si>
    <t>Unidad</t>
  </si>
  <si>
    <t>Duración total del proyecto</t>
  </si>
  <si>
    <t>días</t>
  </si>
  <si>
    <t>Dato solicitado</t>
  </si>
  <si>
    <t>Mes equivalente</t>
  </si>
  <si>
    <t>días/mes</t>
  </si>
  <si>
    <t>720 / 30 = 24 meses</t>
  </si>
  <si>
    <t>Número de meses</t>
  </si>
  <si>
    <t>meses</t>
  </si>
  <si>
    <t>Calculado</t>
  </si>
  <si>
    <t>Descripción</t>
  </si>
  <si>
    <t>Rendimiento diario</t>
  </si>
  <si>
    <t>HH cuadrilla/día</t>
  </si>
  <si>
    <t>N° cuadrillas</t>
  </si>
  <si>
    <t>Personal equiv./día</t>
  </si>
  <si>
    <t>Mes inicio</t>
  </si>
  <si>
    <t>Mes fin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</si>
  <si>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</si>
  <si>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</si>
  <si>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</si>
  <si>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</si>
  <si>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</si>
  <si>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</si>
  <si>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</si>
  <si>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</si>
  <si>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</si>
  <si>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</si>
  <si>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</si>
  <si>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</si>
  <si>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</si>
  <si>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</si>
  <si>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</si>
  <si>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</si>
  <si>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</si>
  <si>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</si>
  <si>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</si>
  <si>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</si>
  <si>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</si>
  <si>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</si>
  <si>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</si>
  <si>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</si>
  <si>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HH-mes acum.</t>
  </si>
  <si>
    <t>Volumen roca fija</t>
  </si>
  <si>
    <t>Rend. total efectivo</t>
  </si>
  <si>
    <t>Días requeridos</t>
  </si>
  <si>
    <t>Inicio real</t>
  </si>
  <si>
    <t>Fin recalculado</t>
  </si>
  <si>
    <t>TOTAL PERSONAL EQUIVALENTE POR MES</t>
  </si>
  <si>
    <t>Método: Personal equivalente/día = (Capataz hh + Operario hh + Oficial hh + Peón hh) / 8 × N° de cuadrillas. El horizonte se expresa en 24 meses de 30 días. Las columnas Mes inicio y Mes fin son editables para ajustar el cronograma real.</t>
  </si>
  <si>
    <t>CURVA S PROGRAMADA POR HORAS-HOMBRE – PROYECTO VIAL (720 DÍAS)</t>
  </si>
  <si>
    <t>Parámetro</t>
  </si>
  <si>
    <t>Resumen</t>
  </si>
  <si>
    <t>Duración total (días)</t>
  </si>
  <si>
    <t>HH total programada</t>
  </si>
  <si>
    <t>Días por mes</t>
  </si>
  <si>
    <t>Personal equiv. promedio</t>
  </si>
  <si>
    <t>Jornada (h/día)</t>
  </si>
  <si>
    <t>Personal equiv. máximo</t>
  </si>
  <si>
    <t>Mes</t>
  </si>
  <si>
    <t>HH mensual</t>
  </si>
  <si>
    <t>HH acumulada</t>
  </si>
  <si>
    <t>% mensual</t>
  </si>
  <si>
    <t>% acumulado</t>
  </si>
  <si>
    <t>TOTAL</t>
  </si>
  <si>
    <t>La Curva S está calculada con las horas-hombre programadas derivadas del histograma mensual. HH mensual = Personal equivalente/día × 30 días × 8 h/día. El % acumulado representa avance programado por consumo de HH; no es una valorización económica.</t>
  </si>
  <si>
    <t>Actualización incorporada: Excavación en roca fija = 187.50 m³/día por cuadrilla, 6 cuadrillas, capacidad efectiva total 1,125 m³/día, 101 días de ejecución desde 07/02/2027. La distribución mensual de HH fue prorrateada en 16, 30, 30 y 25 días activos.</t>
  </si>
  <si>
    <t>RECALCULO – EXCAVACIÓN EN ROCA FIJA (VOLUMEN 112,854.85 m³)</t>
  </si>
  <si>
    <t>ENTRADA</t>
  </si>
  <si>
    <t>VALOR</t>
  </si>
  <si>
    <t>UNIDAD</t>
  </si>
  <si>
    <t>OBSERVACIÓN</t>
  </si>
  <si>
    <t>CÁLCULO</t>
  </si>
  <si>
    <t>FÓRMULA / RESULTADO</t>
  </si>
  <si>
    <t>INTERPRETACIÓN</t>
  </si>
  <si>
    <t>Volumen total de excavación en roca fija</t>
  </si>
  <si>
    <t>m³</t>
  </si>
  <si>
    <t>Dato proporcionado</t>
  </si>
  <si>
    <t>Duración con 1 cuadrilla a rendimiento programado</t>
  </si>
  <si>
    <t>Sin medidas de recuperación.</t>
  </si>
  <si>
    <t>Rendimiento programado por cuadrilla</t>
  </si>
  <si>
    <t>m³/día</t>
  </si>
  <si>
    <t>Del Excel de rendimientos</t>
  </si>
  <si>
    <t>Rendimiento real estimado por cuadrilla</t>
  </si>
  <si>
    <t>Rendimiento por cuadrilla considerando pérdidas de productividad.</t>
  </si>
  <si>
    <t>Retraso de inicio</t>
  </si>
  <si>
    <t>2 semanas</t>
  </si>
  <si>
    <t>Duración con 1 cuadrilla a eficiencia real</t>
  </si>
  <si>
    <t>Duración esperada si se mantiene una sola cuadrilla.</t>
  </si>
  <si>
    <t>Ventana programada original</t>
  </si>
  <si>
    <t>Mes 5 al Mes 8</t>
  </si>
  <si>
    <t>Días efectivos disponibles tras el retraso</t>
  </si>
  <si>
    <t>Ventana disponible para conservar la fecha fin original.</t>
  </si>
  <si>
    <t>HH base por cuadrilla/día</t>
  </si>
  <si>
    <t>hh/día</t>
  </si>
  <si>
    <t>1+3+2+4 de la matriz</t>
  </si>
  <si>
    <t>Rendimiento total requerido para no mover el fin</t>
  </si>
  <si>
    <t>Producción diaria necesaria para absorber volumen y retraso.</t>
  </si>
  <si>
    <t>Jornada de trabajo</t>
  </si>
  <si>
    <t>h/día</t>
  </si>
  <si>
    <t>Base del proyecto</t>
  </si>
  <si>
    <t>Cuadrillas requeridas</t>
  </si>
  <si>
    <t>cuadrillas</t>
  </si>
  <si>
    <t>Redondeo hacia arriba para cumplir el plazo.</t>
  </si>
  <si>
    <t>Factor de eficiencia real usado</t>
  </si>
  <si>
    <t>-</t>
  </si>
  <si>
    <t>Escenario conservador editable</t>
  </si>
  <si>
    <t>Capacidad diaria con cuadrillas requeridas</t>
  </si>
  <si>
    <t>Capacidad diaria del plan de recuperación.</t>
  </si>
  <si>
    <t>Inicio planificado</t>
  </si>
  <si>
    <t>fecha</t>
  </si>
  <si>
    <t>Duración recalculada</t>
  </si>
  <si>
    <t>Duración resultante con el número de cuadrillas calculado.</t>
  </si>
  <si>
    <t>Fin planificado</t>
  </si>
  <si>
    <t>Fin Mes 8</t>
  </si>
  <si>
    <t>Fecha real de inicio</t>
  </si>
  <si>
    <t>Inicio planificado + 14 días.</t>
  </si>
  <si>
    <t>Fecha recalculada de fin</t>
  </si>
  <si>
    <t>Fecha final del plan de recuperación.</t>
  </si>
  <si>
    <t>Holgura / atraso respecto al fin original</t>
  </si>
  <si>
    <t>Valor positivo = termina antes; negativo = atraso.</t>
  </si>
  <si>
    <t>HH totales por día requeridas</t>
  </si>
  <si>
    <t>HH/día conforme a la matriz del Excel.</t>
  </si>
  <si>
    <t>Personal equivalente requerido (8 h/día)</t>
  </si>
  <si>
    <t>personas eq.</t>
  </si>
  <si>
    <t>Conversión de HH/día a jornada de 8 horas.</t>
  </si>
  <si>
    <t>Personal equivalente redondeado</t>
  </si>
  <si>
    <t>personas</t>
  </si>
  <si>
    <t>Dotación mínima equivalente, redondeada.</t>
  </si>
  <si>
    <t>Escenario</t>
  </si>
  <si>
    <t>Eficiencia</t>
  </si>
  <si>
    <t>Rend. real/cuadrilla</t>
  </si>
  <si>
    <t>Cuadrillas req.</t>
  </si>
  <si>
    <t>Capacidad total</t>
  </si>
  <si>
    <t>Duración</t>
  </si>
  <si>
    <t>Fin estimado</t>
  </si>
  <si>
    <t>Personal eq. redondeado</t>
  </si>
  <si>
    <t>85% eficiencia</t>
  </si>
  <si>
    <t>75% eficiencia</t>
  </si>
  <si>
    <t>65% eficiencia</t>
  </si>
  <si>
    <t>CONDICIONES OBSERVADAS E IMPACTO EN EL PLAN</t>
  </si>
  <si>
    <t>Condición</t>
  </si>
  <si>
    <t>Impacto</t>
  </si>
  <si>
    <t>Medida incorporada / recomendada</t>
  </si>
  <si>
    <t>Inicio 2 semanas tarde</t>
  </si>
  <si>
    <t>Reduce la ventana de ejecución</t>
  </si>
  <si>
    <t>El cálculo usa 106 días efectivos para mantener el fin original.</t>
  </si>
  <si>
    <t>Productividad real menor</t>
  </si>
  <si>
    <t>Aumenta la duración</t>
  </si>
  <si>
    <t>Se aplica factor de eficiencia editable; escenario base 75%.</t>
  </si>
  <si>
    <t>Equipos esperando</t>
  </si>
  <si>
    <t>Pérdida de utilización</t>
  </si>
  <si>
    <t>Aumentar coordinación de frentes y balance de equipos/cuadrillas.</t>
  </si>
  <si>
    <t>Equipos no adecuados en algunas zonas</t>
  </si>
  <si>
    <t>Menor rendimiento</t>
  </si>
  <si>
    <t>Asignar equipo específico por tipo de roca y frente.</t>
  </si>
  <si>
    <t>Cambios frecuentes de frentes</t>
  </si>
  <si>
    <t>Interrupciones y traslados</t>
  </si>
  <si>
    <t>Congelar frentes semanales y programar secuencia de ataque.</t>
  </si>
  <si>
    <t>Verificaciones topográficas adicionales</t>
  </si>
  <si>
    <t>Tiempo no productivo</t>
  </si>
  <si>
    <t>Topografía debe preceder la liberación de cada frente.</t>
  </si>
  <si>
    <t>RESUMEN DEL RECÁLCULO INCORPORADO AL PROYECTO</t>
  </si>
  <si>
    <t>Concepto</t>
  </si>
  <si>
    <t>Resultado</t>
  </si>
  <si>
    <t>Fecha</t>
  </si>
  <si>
    <t>Comentario</t>
  </si>
  <si>
    <t>Volumen de roca fija</t>
  </si>
  <si>
    <t>Cronograma original</t>
  </si>
  <si>
    <t>Rendimiento original</t>
  </si>
  <si>
    <t>m³/día/cuadrilla</t>
  </si>
  <si>
    <t>14 días después</t>
  </si>
  <si>
    <t>Factor de eficiencia</t>
  </si>
  <si>
    <t>Fecha objetivo</t>
  </si>
  <si>
    <t>Rendimiento efectivo por cuadrilla</t>
  </si>
  <si>
    <t>5 días antes del fin objetivo</t>
  </si>
  <si>
    <t>Rendimiento total efectivo</t>
  </si>
  <si>
    <t>Personal equivalente diario</t>
  </si>
  <si>
    <t>ENCOFRADO Y DESEM</t>
  </si>
  <si>
    <t>M2</t>
  </si>
  <si>
    <t>DESCONFRADO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</si>
</sst>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11" x14ac:knownFonts="1">
    <font>
      <sz val="11"/>
      <color theme="1"/>
      <name val="Calibri"/>
    </font>
    <font>
      <b/>
      <sz val="14"/>
      <color rgb="FF1E293B"/>
      <name val="Calibri"/>
      <family val="2"/>
    </font>
    <font>
      <i/>
      <sz val="10"/>
      <color rgb="FF64748B"/>
      <name val="Calibri"/>
      <family val="2"/>
    </font>
    <font>
      <b/>
      <sz val="10"/>
      <color rgb="FFFFFFFF"/>
      <name val="Calibri"/>
      <family val="2"/>
    </font>
    <font>
      <b/>
      <sz val="11"/>
      <color rgb="FF0284C7"/>
      <name val="Calibri"/>
      <family val="2"/>
    </font>
    <font>
      <sz val="11"/>
      <name val="Calibri"/>
      <family val="2"/>
    </font>
    <font>
      <sz val="10"/>
      <color rgb="FF0F172A"/>
      <name val="Calibri"/>
      <family val="2"/>
    </font>
    <font>
      <b/>
      <sz val="10"/>
      <color rgb="FF991B1B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4B40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4B400"/>
      </patternFill>
    </fill>
    <fill>
      <patternFill patternType="solid">
        <fgColor rgb="FFD9EAD3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4B400"/>
      </patternFill>
    </fill>
    <fill>
      <patternFill patternType="solid">
        <fgColor rgb="FFC6E0B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9" fillId="6" borderId="0" xfId="0" applyFont="1" applyFill="1"/>
    <xf numFmtId="2" fontId="0" fillId="0" borderId="0" xfId="0" applyNumberFormat="1"/>
    <xf numFmtId="0" fontId="9" fillId="7" borderId="0" xfId="0" applyFont="1" applyFill="1" applyAlignment="1">
      <alignment horizontal="center" vertical="center" wrapText="1"/>
    </xf>
    <xf numFmtId="2" fontId="9" fillId="8" borderId="0" xfId="0" applyNumberFormat="1" applyFont="1" applyFill="1" applyAlignment="1">
      <alignment horizontal="center"/>
    </xf>
    <xf numFmtId="4" fontId="0" fillId="0" borderId="0" xfId="0" applyNumberFormat="1"/>
    <xf numFmtId="0" fontId="0" fillId="9" borderId="0" xfId="0" applyFill="1" applyAlignment="1">
      <alignment horizontal="center"/>
    </xf>
    <xf numFmtId="0" fontId="9" fillId="12" borderId="0" xfId="0" applyFont="1" applyFill="1"/>
    <xf numFmtId="0" fontId="9" fillId="13" borderId="0" xfId="0" applyFont="1" applyFill="1" applyAlignment="1">
      <alignment horizontal="center" vertical="center" wrapText="1"/>
    </xf>
    <xf numFmtId="10" fontId="0" fillId="0" borderId="0" xfId="0" applyNumberFormat="1"/>
    <xf numFmtId="0" fontId="9" fillId="14" borderId="0" xfId="0" applyFont="1" applyFill="1"/>
    <xf numFmtId="4" fontId="9" fillId="14" borderId="0" xfId="0" applyNumberFormat="1" applyFont="1" applyFill="1"/>
    <xf numFmtId="10" fontId="9" fillId="14" borderId="0" xfId="0" applyNumberFormat="1" applyFont="1" applyFill="1"/>
    <xf numFmtId="0" fontId="9" fillId="17" borderId="0" xfId="0" applyFont="1" applyFill="1"/>
    <xf numFmtId="9" fontId="0" fillId="0" borderId="0" xfId="0" applyNumberFormat="1"/>
    <xf numFmtId="165" fontId="0" fillId="0" borderId="0" xfId="0" applyNumberFormat="1"/>
    <xf numFmtId="0" fontId="9" fillId="18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0" fontId="0" fillId="20" borderId="0" xfId="0" applyFill="1"/>
    <xf numFmtId="0" fontId="9" fillId="20" borderId="0" xfId="0" applyFont="1" applyFill="1"/>
    <xf numFmtId="0" fontId="9" fillId="20" borderId="0" xfId="0" applyFont="1" applyFill="1" applyAlignment="1">
      <alignment horizontal="center" vertical="center" wrapText="1"/>
    </xf>
    <xf numFmtId="4" fontId="0" fillId="20" borderId="0" xfId="0" applyNumberFormat="1" applyFill="1"/>
    <xf numFmtId="0" fontId="0" fillId="20" borderId="0" xfId="0" applyFill="1" applyAlignment="1">
      <alignment wrapText="1"/>
    </xf>
    <xf numFmtId="0" fontId="6" fillId="21" borderId="4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left" vertical="center"/>
    </xf>
    <xf numFmtId="164" fontId="6" fillId="21" borderId="4" xfId="0" applyNumberFormat="1" applyFont="1" applyFill="1" applyBorder="1" applyAlignment="1">
      <alignment horizontal="right" vertical="center"/>
    </xf>
    <xf numFmtId="0" fontId="7" fillId="21" borderId="4" xfId="0" applyFont="1" applyFill="1" applyBorder="1" applyAlignment="1">
      <alignment horizontal="center" vertical="center"/>
    </xf>
    <xf numFmtId="4" fontId="0" fillId="21" borderId="0" xfId="0" applyNumberFormat="1" applyFill="1"/>
    <xf numFmtId="0" fontId="0" fillId="21" borderId="0" xfId="0" applyFill="1" applyAlignment="1">
      <alignment wrapText="1"/>
    </xf>
    <xf numFmtId="0" fontId="9" fillId="22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right"/>
    </xf>
    <xf numFmtId="0" fontId="10" fillId="10" borderId="0" xfId="0" applyFont="1" applyFill="1" applyAlignment="1">
      <alignment wrapText="1"/>
    </xf>
    <xf numFmtId="0" fontId="8" fillId="11" borderId="0" xfId="0" applyFont="1" applyFill="1" applyAlignment="1">
      <alignment horizontal="center" vertical="center"/>
    </xf>
    <xf numFmtId="0" fontId="10" fillId="15" borderId="0" xfId="0" applyFont="1" applyFill="1" applyAlignment="1">
      <alignment vertical="center" wrapText="1"/>
    </xf>
    <xf numFmtId="0" fontId="10" fillId="21" borderId="0" xfId="0" applyFont="1" applyFill="1" applyAlignment="1">
      <alignment vertical="center" wrapText="1"/>
    </xf>
    <xf numFmtId="0" fontId="8" fillId="16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Personal equivalente</c:v>
          </c:tx>
          <c:invertIfNegative val="1"/>
          <c:cat>
            <c:strRef>
              <c:f>'Histograma 720 dias'!$J$8:$AG$8</c:f>
              <c:strCache>
                <c:ptCount val="24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  <c:pt idx="12">
                  <c:v>Mes 13</c:v>
                </c:pt>
                <c:pt idx="13">
                  <c:v>Mes 14</c:v>
                </c:pt>
                <c:pt idx="14">
                  <c:v>Mes 15</c:v>
                </c:pt>
                <c:pt idx="15">
                  <c:v>Mes 16</c:v>
                </c:pt>
                <c:pt idx="16">
                  <c:v>Mes 17</c:v>
                </c:pt>
                <c:pt idx="17">
                  <c:v>Mes 18</c:v>
                </c:pt>
                <c:pt idx="18">
                  <c:v>Mes 19</c:v>
                </c:pt>
                <c:pt idx="19">
                  <c:v>Mes 20</c:v>
                </c:pt>
                <c:pt idx="20">
                  <c:v>Mes 21</c:v>
                </c:pt>
                <c:pt idx="21">
                  <c:v>Mes 22</c:v>
                </c:pt>
                <c:pt idx="22">
                  <c:v>Mes 23</c:v>
                </c:pt>
                <c:pt idx="23">
                  <c:v>Mes 24</c:v>
                </c:pt>
              </c:strCache>
            </c:strRef>
          </c:cat>
          <c:val>
            <c:numRef>
              <c:f>'Histograma 720 dias'!$J$31:$AG$31</c:f>
              <c:numCache>
                <c:formatCode>0.00</c:formatCode>
                <c:ptCount val="24"/>
                <c:pt idx="0">
                  <c:v>3.4375</c:v>
                </c:pt>
                <c:pt idx="1">
                  <c:v>2.2250000000000001</c:v>
                </c:pt>
                <c:pt idx="2">
                  <c:v>2.2000000000000002</c:v>
                </c:pt>
                <c:pt idx="3">
                  <c:v>2.7875000000000001</c:v>
                </c:pt>
                <c:pt idx="4">
                  <c:v>6.7875000000000005</c:v>
                </c:pt>
                <c:pt idx="5">
                  <c:v>10.975</c:v>
                </c:pt>
                <c:pt idx="6">
                  <c:v>11.6625</c:v>
                </c:pt>
                <c:pt idx="7">
                  <c:v>8.9124999999999996</c:v>
                </c:pt>
                <c:pt idx="8">
                  <c:v>3.35</c:v>
                </c:pt>
                <c:pt idx="9">
                  <c:v>4.0374999999999996</c:v>
                </c:pt>
                <c:pt idx="10">
                  <c:v>3.0750000000000002</c:v>
                </c:pt>
                <c:pt idx="11">
                  <c:v>3.2625000000000002</c:v>
                </c:pt>
                <c:pt idx="12">
                  <c:v>4.45</c:v>
                </c:pt>
                <c:pt idx="13">
                  <c:v>4.6375000000000002</c:v>
                </c:pt>
                <c:pt idx="14">
                  <c:v>2.7625000000000002</c:v>
                </c:pt>
                <c:pt idx="15">
                  <c:v>1.8875</c:v>
                </c:pt>
                <c:pt idx="16">
                  <c:v>2.5750000000000002</c:v>
                </c:pt>
                <c:pt idx="17">
                  <c:v>2.2625000000000002</c:v>
                </c:pt>
                <c:pt idx="18">
                  <c:v>4.2875000000000005</c:v>
                </c:pt>
                <c:pt idx="19">
                  <c:v>3.6</c:v>
                </c:pt>
                <c:pt idx="20">
                  <c:v>3.6</c:v>
                </c:pt>
                <c:pt idx="21">
                  <c:v>3.0375000000000001</c:v>
                </c:pt>
                <c:pt idx="22">
                  <c:v>3.0375000000000001</c:v>
                </c:pt>
                <c:pt idx="23">
                  <c:v>1.0125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2-48B6-91C7-AF9DC5CB3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Personal equivalente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% acumulado</c:v>
          </c:tx>
          <c:marker>
            <c:symbol val="none"/>
          </c:marker>
          <c:cat>
            <c:numRef>
              <c:f>'Curva S HH'!$A$10:$A$33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'Curva S HH'!$F$10:$F$33</c:f>
              <c:numCache>
                <c:formatCode>0.00%</c:formatCode>
                <c:ptCount val="24"/>
                <c:pt idx="0">
                  <c:v>3.4422330704718986E-2</c:v>
                </c:pt>
                <c:pt idx="1">
                  <c:v>5.6702966579046186E-2</c:v>
                </c:pt>
                <c:pt idx="2">
                  <c:v>7.8733258230066341E-2</c:v>
                </c:pt>
                <c:pt idx="3">
                  <c:v>0.10664663912880211</c:v>
                </c:pt>
                <c:pt idx="4">
                  <c:v>0.17461509575666542</c:v>
                </c:pt>
                <c:pt idx="5">
                  <c:v>0.28451620978845915</c:v>
                </c:pt>
                <c:pt idx="6">
                  <c:v>0.40130178996119664</c:v>
                </c:pt>
                <c:pt idx="7">
                  <c:v>0.49054950557015897</c:v>
                </c:pt>
                <c:pt idx="8">
                  <c:v>0.52409563149330329</c:v>
                </c:pt>
                <c:pt idx="9">
                  <c:v>0.56452622355739146</c:v>
                </c:pt>
                <c:pt idx="10">
                  <c:v>0.5953185630241582</c:v>
                </c:pt>
                <c:pt idx="11">
                  <c:v>0.62798848416572783</c:v>
                </c:pt>
                <c:pt idx="12">
                  <c:v>0.67254975591438226</c:v>
                </c:pt>
                <c:pt idx="13">
                  <c:v>0.71898860933783948</c:v>
                </c:pt>
                <c:pt idx="14">
                  <c:v>0.74665164601326828</c:v>
                </c:pt>
                <c:pt idx="15">
                  <c:v>0.76555263487295033</c:v>
                </c:pt>
                <c:pt idx="16">
                  <c:v>0.79133808987357612</c:v>
                </c:pt>
                <c:pt idx="17">
                  <c:v>0.81399424208286397</c:v>
                </c:pt>
                <c:pt idx="18">
                  <c:v>0.85692827638002256</c:v>
                </c:pt>
                <c:pt idx="19">
                  <c:v>0.8929778445362373</c:v>
                </c:pt>
                <c:pt idx="20">
                  <c:v>0.92902741269245215</c:v>
                </c:pt>
                <c:pt idx="21">
                  <c:v>0.95944423582425831</c:v>
                </c:pt>
                <c:pt idx="22">
                  <c:v>0.98986105895606458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1A-4F68-BF02-5BF94DE97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PE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PE"/>
                  <a:t>Avance acumulado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16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zoomScale="85" zoomScaleNormal="85" workbookViewId="0">
      <selection activeCell="N18" sqref="N18"/>
    </sheetView>
  </sheetViews>
  <sheetFormatPr baseColWidth="10" defaultColWidth="14.453125" defaultRowHeight="14.5" x14ac:dyDescent="0.35"/>
  <cols>
    <col min="1" max="1" width="10" customWidth="1"/>
    <col min="2" max="2" width="34.7265625" customWidth="1"/>
    <col min="3" max="3" width="10" customWidth="1"/>
    <col min="4" max="4" width="12.81640625" customWidth="1"/>
    <col min="5" max="8" width="11.26953125" customWidth="1"/>
    <col min="9" max="9" width="45.54296875" customWidth="1"/>
    <col min="10" max="10" width="11.36328125" customWidth="1"/>
    <col min="11" max="11" width="12.08984375" customWidth="1"/>
    <col min="12" max="12" width="18.08984375" customWidth="1"/>
    <col min="13" max="13" width="18.54296875" customWidth="1"/>
    <col min="14" max="14" width="42" customWidth="1"/>
    <col min="15" max="26" width="8.7265625" customWidth="1"/>
  </cols>
  <sheetData>
    <row r="1" spans="1:15" ht="18.5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5" x14ac:dyDescent="0.35">
      <c r="A2" s="41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4" spans="1:15" ht="29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26" t="s">
        <v>104</v>
      </c>
      <c r="M4" s="26" t="s">
        <v>105</v>
      </c>
      <c r="N4" s="26" t="s">
        <v>106</v>
      </c>
    </row>
    <row r="5" spans="1:15" x14ac:dyDescent="0.35">
      <c r="A5" s="36" t="s">
        <v>13</v>
      </c>
      <c r="B5" s="37"/>
      <c r="C5" s="37"/>
      <c r="D5" s="37"/>
      <c r="E5" s="37"/>
      <c r="F5" s="37"/>
      <c r="G5" s="37"/>
      <c r="H5" s="37"/>
      <c r="I5" s="37"/>
      <c r="J5" s="37"/>
      <c r="K5" s="38"/>
      <c r="L5" s="24"/>
      <c r="M5" s="24"/>
      <c r="N5" s="24"/>
    </row>
    <row r="6" spans="1:15" x14ac:dyDescent="0.35">
      <c r="A6" s="1" t="s">
        <v>14</v>
      </c>
      <c r="B6" s="2" t="s">
        <v>15</v>
      </c>
      <c r="C6" s="1" t="s">
        <v>16</v>
      </c>
      <c r="D6" s="1" t="s">
        <v>17</v>
      </c>
      <c r="E6" s="3">
        <v>1</v>
      </c>
      <c r="F6" s="3">
        <v>2</v>
      </c>
      <c r="G6" s="3">
        <v>2</v>
      </c>
      <c r="H6" s="3">
        <v>4</v>
      </c>
      <c r="I6" s="2" t="s">
        <v>18</v>
      </c>
      <c r="J6" s="1">
        <v>1</v>
      </c>
      <c r="K6" s="4" t="s">
        <v>19</v>
      </c>
      <c r="L6" s="10">
        <f>VALUE(D6)*J6</f>
        <v>1</v>
      </c>
      <c r="M6" s="10">
        <f>(SUM(E6:H6)/8)*J6</f>
        <v>1.125</v>
      </c>
      <c r="N6" s="23"/>
      <c r="O6" s="52">
        <f>+E6+F6+G6+H6</f>
        <v>9</v>
      </c>
    </row>
    <row r="7" spans="1:15" x14ac:dyDescent="0.35">
      <c r="A7" s="1" t="s">
        <v>20</v>
      </c>
      <c r="B7" s="2" t="s">
        <v>21</v>
      </c>
      <c r="C7" s="1" t="s">
        <v>22</v>
      </c>
      <c r="D7" s="1" t="s">
        <v>23</v>
      </c>
      <c r="E7" s="3">
        <v>1</v>
      </c>
      <c r="F7" s="3">
        <v>1</v>
      </c>
      <c r="G7" s="3">
        <v>1</v>
      </c>
      <c r="H7" s="3">
        <v>2</v>
      </c>
      <c r="I7" s="2" t="s">
        <v>24</v>
      </c>
      <c r="J7" s="1">
        <v>1</v>
      </c>
      <c r="K7" s="4" t="s">
        <v>19</v>
      </c>
      <c r="L7" s="10">
        <f>VALUE(D7)*J7</f>
        <v>0.5</v>
      </c>
      <c r="M7" s="10">
        <f>(SUM(E7:H7)/8)*J7</f>
        <v>0.625</v>
      </c>
      <c r="N7" s="23"/>
      <c r="O7" s="52">
        <f t="shared" ref="O7:O29" si="0">+E7+F7+G7+H7</f>
        <v>5</v>
      </c>
    </row>
    <row r="8" spans="1:15" x14ac:dyDescent="0.35">
      <c r="A8" s="1" t="s">
        <v>25</v>
      </c>
      <c r="B8" s="2" t="s">
        <v>26</v>
      </c>
      <c r="C8" s="1" t="s">
        <v>27</v>
      </c>
      <c r="D8" s="1" t="s">
        <v>17</v>
      </c>
      <c r="E8" s="3">
        <v>0.1</v>
      </c>
      <c r="F8" s="3">
        <v>0</v>
      </c>
      <c r="G8" s="3">
        <v>1</v>
      </c>
      <c r="H8" s="3">
        <v>2</v>
      </c>
      <c r="I8" s="2" t="s">
        <v>28</v>
      </c>
      <c r="J8" s="1">
        <v>1</v>
      </c>
      <c r="K8" s="4" t="s">
        <v>19</v>
      </c>
      <c r="L8" s="10">
        <f>VALUE(D8)*J8</f>
        <v>1</v>
      </c>
      <c r="M8" s="10">
        <f>(SUM(E8:H8)/8)*J8</f>
        <v>0.38750000000000001</v>
      </c>
      <c r="N8" s="23"/>
      <c r="O8" s="52">
        <f t="shared" si="0"/>
        <v>3.1</v>
      </c>
    </row>
    <row r="9" spans="1:15" x14ac:dyDescent="0.35">
      <c r="A9" s="1" t="s">
        <v>29</v>
      </c>
      <c r="B9" s="2" t="s">
        <v>30</v>
      </c>
      <c r="C9" s="1" t="s">
        <v>31</v>
      </c>
      <c r="D9" s="1" t="s">
        <v>32</v>
      </c>
      <c r="E9" s="3">
        <v>0.2</v>
      </c>
      <c r="F9" s="3">
        <v>1</v>
      </c>
      <c r="G9" s="3">
        <v>1</v>
      </c>
      <c r="H9" s="3">
        <v>4</v>
      </c>
      <c r="I9" s="2" t="s">
        <v>33</v>
      </c>
      <c r="J9" s="1">
        <v>1</v>
      </c>
      <c r="K9" s="1" t="s">
        <v>34</v>
      </c>
      <c r="L9" s="10">
        <f>VALUE(D9)*J9</f>
        <v>50</v>
      </c>
      <c r="M9" s="10">
        <f>(SUM(E9:H9)/8)*J9</f>
        <v>0.77500000000000002</v>
      </c>
      <c r="N9" s="23"/>
      <c r="O9" s="52">
        <f t="shared" si="0"/>
        <v>6.2</v>
      </c>
    </row>
    <row r="10" spans="1:15" x14ac:dyDescent="0.35">
      <c r="A10" s="1" t="s">
        <v>35</v>
      </c>
      <c r="B10" s="2" t="s">
        <v>36</v>
      </c>
      <c r="C10" s="1" t="s">
        <v>37</v>
      </c>
      <c r="D10" s="1" t="s">
        <v>17</v>
      </c>
      <c r="E10" s="3">
        <v>0.2</v>
      </c>
      <c r="F10" s="3">
        <v>1</v>
      </c>
      <c r="G10" s="3">
        <v>1</v>
      </c>
      <c r="H10" s="3">
        <v>2</v>
      </c>
      <c r="I10" s="2" t="s">
        <v>38</v>
      </c>
      <c r="J10" s="1">
        <v>1</v>
      </c>
      <c r="K10" s="1" t="s">
        <v>34</v>
      </c>
      <c r="L10" s="10">
        <f>VALUE(D10)*J10</f>
        <v>1</v>
      </c>
      <c r="M10" s="10">
        <f>(SUM(E10:H10)/8)*J10</f>
        <v>0.52500000000000002</v>
      </c>
      <c r="N10" s="23"/>
      <c r="O10" s="52">
        <f t="shared" si="0"/>
        <v>4.2</v>
      </c>
    </row>
    <row r="11" spans="1:15" x14ac:dyDescent="0.35">
      <c r="A11" s="36" t="s">
        <v>39</v>
      </c>
      <c r="B11" s="37"/>
      <c r="C11" s="37"/>
      <c r="D11" s="37"/>
      <c r="E11" s="37"/>
      <c r="F11" s="37"/>
      <c r="G11" s="37"/>
      <c r="H11" s="37"/>
      <c r="I11" s="37"/>
      <c r="J11" s="37"/>
      <c r="K11" s="38"/>
      <c r="L11" s="27"/>
      <c r="M11" s="27"/>
      <c r="N11" s="28"/>
      <c r="O11" s="52">
        <f t="shared" si="0"/>
        <v>0</v>
      </c>
    </row>
    <row r="12" spans="1:15" x14ac:dyDescent="0.35">
      <c r="A12" s="1" t="s">
        <v>40</v>
      </c>
      <c r="B12" s="2" t="s">
        <v>41</v>
      </c>
      <c r="C12" s="1" t="s">
        <v>42</v>
      </c>
      <c r="D12" s="1" t="s">
        <v>43</v>
      </c>
      <c r="E12" s="3">
        <v>0.5</v>
      </c>
      <c r="F12" s="3">
        <v>1</v>
      </c>
      <c r="G12" s="3">
        <v>0</v>
      </c>
      <c r="H12" s="3">
        <v>2</v>
      </c>
      <c r="I12" s="2" t="s">
        <v>44</v>
      </c>
      <c r="J12" s="1">
        <v>1</v>
      </c>
      <c r="K12" s="4" t="s">
        <v>19</v>
      </c>
      <c r="L12" s="10">
        <f t="shared" ref="L12:L20" si="1">VALUE(D12)*J12</f>
        <v>0.25</v>
      </c>
      <c r="M12" s="10">
        <f t="shared" ref="M12:M20" si="2">(SUM(E12:H12)/8)*J12</f>
        <v>0.4375</v>
      </c>
      <c r="N12" s="23"/>
      <c r="O12" s="52">
        <f t="shared" si="0"/>
        <v>3.5</v>
      </c>
    </row>
    <row r="13" spans="1:15" x14ac:dyDescent="0.35">
      <c r="A13" s="1" t="s">
        <v>45</v>
      </c>
      <c r="B13" s="2" t="s">
        <v>46</v>
      </c>
      <c r="C13" s="1" t="s">
        <v>47</v>
      </c>
      <c r="D13" s="1" t="s">
        <v>48</v>
      </c>
      <c r="E13" s="3">
        <v>1</v>
      </c>
      <c r="F13" s="3">
        <v>2</v>
      </c>
      <c r="G13" s="3">
        <v>1</v>
      </c>
      <c r="H13" s="3">
        <v>2</v>
      </c>
      <c r="I13" s="2" t="s">
        <v>49</v>
      </c>
      <c r="J13" s="1">
        <v>1</v>
      </c>
      <c r="K13" s="4" t="s">
        <v>19</v>
      </c>
      <c r="L13" s="10">
        <f t="shared" si="1"/>
        <v>750</v>
      </c>
      <c r="M13" s="10">
        <f t="shared" si="2"/>
        <v>0.75</v>
      </c>
      <c r="N13" s="23"/>
      <c r="O13" s="52">
        <f t="shared" si="0"/>
        <v>6</v>
      </c>
    </row>
    <row r="14" spans="1:15" x14ac:dyDescent="0.35">
      <c r="A14" s="1" t="s">
        <v>50</v>
      </c>
      <c r="B14" s="2" t="s">
        <v>51</v>
      </c>
      <c r="C14" s="1" t="s">
        <v>47</v>
      </c>
      <c r="D14" s="1" t="s">
        <v>52</v>
      </c>
      <c r="E14" s="3">
        <v>1</v>
      </c>
      <c r="F14" s="3">
        <v>2</v>
      </c>
      <c r="G14" s="3">
        <v>1</v>
      </c>
      <c r="H14" s="3">
        <v>2</v>
      </c>
      <c r="I14" s="2" t="s">
        <v>53</v>
      </c>
      <c r="J14" s="1">
        <v>1</v>
      </c>
      <c r="K14" s="4" t="s">
        <v>19</v>
      </c>
      <c r="L14" s="10">
        <f t="shared" si="1"/>
        <v>400</v>
      </c>
      <c r="M14" s="10">
        <f t="shared" si="2"/>
        <v>0.75</v>
      </c>
      <c r="N14" s="23"/>
      <c r="O14" s="52">
        <f t="shared" si="0"/>
        <v>6</v>
      </c>
    </row>
    <row r="15" spans="1:15" ht="72.5" x14ac:dyDescent="0.35">
      <c r="A15" s="29" t="s">
        <v>54</v>
      </c>
      <c r="B15" s="30" t="s">
        <v>55</v>
      </c>
      <c r="C15" s="29" t="s">
        <v>47</v>
      </c>
      <c r="D15" s="29">
        <v>112854.85</v>
      </c>
      <c r="E15" s="31">
        <v>1</v>
      </c>
      <c r="F15" s="31">
        <v>3</v>
      </c>
      <c r="G15" s="31">
        <v>2</v>
      </c>
      <c r="H15" s="31">
        <v>4</v>
      </c>
      <c r="I15" s="30" t="s">
        <v>56</v>
      </c>
      <c r="J15" s="29">
        <v>6</v>
      </c>
      <c r="K15" s="32" t="s">
        <v>19</v>
      </c>
      <c r="L15" s="33">
        <f t="shared" si="1"/>
        <v>677129.10000000009</v>
      </c>
      <c r="M15" s="33">
        <f t="shared" si="2"/>
        <v>7.5</v>
      </c>
      <c r="N15" s="34" t="s">
        <v>107</v>
      </c>
      <c r="O15" s="52">
        <f t="shared" si="0"/>
        <v>10</v>
      </c>
    </row>
    <row r="16" spans="1:15" x14ac:dyDescent="0.35">
      <c r="A16" s="1" t="s">
        <v>57</v>
      </c>
      <c r="B16" s="2" t="s">
        <v>58</v>
      </c>
      <c r="C16" s="1" t="s">
        <v>47</v>
      </c>
      <c r="D16" s="1" t="s">
        <v>59</v>
      </c>
      <c r="E16" s="3">
        <v>0.5</v>
      </c>
      <c r="F16" s="3">
        <v>2</v>
      </c>
      <c r="G16" s="3">
        <v>1</v>
      </c>
      <c r="H16" s="3">
        <v>2</v>
      </c>
      <c r="I16" s="2" t="s">
        <v>60</v>
      </c>
      <c r="J16" s="1">
        <v>1</v>
      </c>
      <c r="K16" s="1" t="s">
        <v>34</v>
      </c>
      <c r="L16" s="10">
        <f t="shared" si="1"/>
        <v>450</v>
      </c>
      <c r="M16" s="10">
        <f t="shared" si="2"/>
        <v>0.6875</v>
      </c>
      <c r="N16" s="23"/>
      <c r="O16" s="52">
        <f t="shared" si="0"/>
        <v>5.5</v>
      </c>
    </row>
    <row r="17" spans="1:15" x14ac:dyDescent="0.35">
      <c r="A17" s="1" t="s">
        <v>61</v>
      </c>
      <c r="B17" s="2" t="s">
        <v>62</v>
      </c>
      <c r="C17" s="1" t="s">
        <v>47</v>
      </c>
      <c r="D17" s="1" t="s">
        <v>63</v>
      </c>
      <c r="E17" s="3">
        <v>0.5</v>
      </c>
      <c r="F17" s="3">
        <v>2</v>
      </c>
      <c r="G17" s="3">
        <v>1</v>
      </c>
      <c r="H17" s="3">
        <v>2</v>
      </c>
      <c r="I17" s="2" t="s">
        <v>64</v>
      </c>
      <c r="J17" s="1">
        <v>1</v>
      </c>
      <c r="K17" s="1" t="s">
        <v>34</v>
      </c>
      <c r="L17" s="10">
        <f t="shared" si="1"/>
        <v>350</v>
      </c>
      <c r="M17" s="10">
        <f t="shared" si="2"/>
        <v>0.6875</v>
      </c>
      <c r="N17" s="23"/>
      <c r="O17" s="52">
        <f t="shared" si="0"/>
        <v>5.5</v>
      </c>
    </row>
    <row r="18" spans="1:15" x14ac:dyDescent="0.35">
      <c r="A18" s="1" t="s">
        <v>65</v>
      </c>
      <c r="B18" s="2" t="s">
        <v>66</v>
      </c>
      <c r="C18" s="1" t="s">
        <v>31</v>
      </c>
      <c r="D18" s="1" t="s">
        <v>67</v>
      </c>
      <c r="E18" s="3">
        <v>0.5</v>
      </c>
      <c r="F18" s="3">
        <v>2</v>
      </c>
      <c r="G18" s="3">
        <v>1</v>
      </c>
      <c r="H18" s="3">
        <v>2</v>
      </c>
      <c r="I18" s="2" t="s">
        <v>68</v>
      </c>
      <c r="J18" s="1">
        <v>1</v>
      </c>
      <c r="K18" s="1" t="s">
        <v>34</v>
      </c>
      <c r="L18" s="10">
        <f t="shared" si="1"/>
        <v>2100</v>
      </c>
      <c r="M18" s="10">
        <f t="shared" si="2"/>
        <v>0.6875</v>
      </c>
      <c r="N18" s="23"/>
      <c r="O18" s="52">
        <f t="shared" si="0"/>
        <v>5.5</v>
      </c>
    </row>
    <row r="19" spans="1:15" x14ac:dyDescent="0.35">
      <c r="A19" s="1" t="s">
        <v>69</v>
      </c>
      <c r="B19" s="2" t="s">
        <v>70</v>
      </c>
      <c r="C19" s="1" t="s">
        <v>47</v>
      </c>
      <c r="D19" s="1" t="s">
        <v>71</v>
      </c>
      <c r="E19" s="3">
        <v>0.2</v>
      </c>
      <c r="F19" s="3">
        <v>1</v>
      </c>
      <c r="G19" s="3">
        <v>0</v>
      </c>
      <c r="H19" s="3">
        <v>1</v>
      </c>
      <c r="I19" s="2" t="s">
        <v>72</v>
      </c>
      <c r="J19" s="1">
        <v>1</v>
      </c>
      <c r="K19" s="1" t="s">
        <v>34</v>
      </c>
      <c r="L19" s="10">
        <f t="shared" si="1"/>
        <v>550</v>
      </c>
      <c r="M19" s="10">
        <f t="shared" si="2"/>
        <v>0.27500000000000002</v>
      </c>
      <c r="N19" s="23"/>
      <c r="O19" s="52">
        <f t="shared" si="0"/>
        <v>2.2000000000000002</v>
      </c>
    </row>
    <row r="20" spans="1:15" x14ac:dyDescent="0.35">
      <c r="A20" s="1" t="s">
        <v>73</v>
      </c>
      <c r="B20" s="2" t="s">
        <v>74</v>
      </c>
      <c r="C20" s="1" t="s">
        <v>31</v>
      </c>
      <c r="D20" s="1" t="s">
        <v>75</v>
      </c>
      <c r="E20" s="3">
        <v>0.5</v>
      </c>
      <c r="F20" s="3">
        <v>2</v>
      </c>
      <c r="G20" s="3">
        <v>1</v>
      </c>
      <c r="H20" s="3">
        <v>2</v>
      </c>
      <c r="I20" s="2" t="s">
        <v>76</v>
      </c>
      <c r="J20" s="1">
        <v>1</v>
      </c>
      <c r="K20" s="4" t="s">
        <v>19</v>
      </c>
      <c r="L20" s="10">
        <f t="shared" si="1"/>
        <v>1850</v>
      </c>
      <c r="M20" s="10">
        <f t="shared" si="2"/>
        <v>0.6875</v>
      </c>
      <c r="N20" s="23"/>
      <c r="O20" s="52">
        <f t="shared" si="0"/>
        <v>5.5</v>
      </c>
    </row>
    <row r="21" spans="1:15" ht="15.75" customHeight="1" x14ac:dyDescent="0.35">
      <c r="A21" s="36" t="s">
        <v>77</v>
      </c>
      <c r="B21" s="37"/>
      <c r="C21" s="37"/>
      <c r="D21" s="37"/>
      <c r="E21" s="37"/>
      <c r="F21" s="37"/>
      <c r="G21" s="37"/>
      <c r="H21" s="37"/>
      <c r="I21" s="37"/>
      <c r="J21" s="37"/>
      <c r="K21" s="38"/>
      <c r="L21" s="27"/>
      <c r="M21" s="27"/>
      <c r="N21" s="28"/>
      <c r="O21" s="52">
        <f t="shared" si="0"/>
        <v>0</v>
      </c>
    </row>
    <row r="22" spans="1:15" ht="15.75" customHeight="1" x14ac:dyDescent="0.35">
      <c r="A22" s="1" t="s">
        <v>78</v>
      </c>
      <c r="B22" s="2" t="s">
        <v>79</v>
      </c>
      <c r="C22" s="1" t="s">
        <v>47</v>
      </c>
      <c r="D22" s="1" t="s">
        <v>71</v>
      </c>
      <c r="E22" s="3">
        <v>1</v>
      </c>
      <c r="F22" s="3">
        <v>2</v>
      </c>
      <c r="G22" s="3">
        <v>1</v>
      </c>
      <c r="H22" s="3">
        <v>3</v>
      </c>
      <c r="I22" s="2" t="s">
        <v>80</v>
      </c>
      <c r="J22" s="1">
        <v>1</v>
      </c>
      <c r="K22" s="4" t="s">
        <v>19</v>
      </c>
      <c r="L22" s="10">
        <f>VALUE(D22)*J22</f>
        <v>550</v>
      </c>
      <c r="M22" s="10">
        <f>(SUM(E22:H22)/8)*J22</f>
        <v>0.875</v>
      </c>
      <c r="N22" s="23"/>
      <c r="O22" s="52">
        <f t="shared" si="0"/>
        <v>7</v>
      </c>
    </row>
    <row r="23" spans="1:15" ht="15.75" customHeight="1" x14ac:dyDescent="0.35">
      <c r="A23" s="1" t="s">
        <v>81</v>
      </c>
      <c r="B23" s="2" t="s">
        <v>82</v>
      </c>
      <c r="C23" s="1" t="s">
        <v>47</v>
      </c>
      <c r="D23" s="1" t="s">
        <v>83</v>
      </c>
      <c r="E23" s="3">
        <v>1</v>
      </c>
      <c r="F23" s="3">
        <v>2</v>
      </c>
      <c r="G23" s="3">
        <v>1</v>
      </c>
      <c r="H23" s="3">
        <v>3</v>
      </c>
      <c r="I23" s="2" t="s">
        <v>80</v>
      </c>
      <c r="J23" s="1">
        <v>1</v>
      </c>
      <c r="K23" s="4" t="s">
        <v>19</v>
      </c>
      <c r="L23" s="10">
        <f>VALUE(D23)*J23</f>
        <v>600</v>
      </c>
      <c r="M23" s="10">
        <f>(SUM(E23:H23)/8)*J23</f>
        <v>0.875</v>
      </c>
      <c r="N23" s="23"/>
      <c r="O23" s="52">
        <f t="shared" si="0"/>
        <v>7</v>
      </c>
    </row>
    <row r="24" spans="1:15" ht="15.75" customHeight="1" x14ac:dyDescent="0.35">
      <c r="A24" s="1" t="s">
        <v>84</v>
      </c>
      <c r="B24" s="2" t="s">
        <v>85</v>
      </c>
      <c r="C24" s="1" t="s">
        <v>16</v>
      </c>
      <c r="D24" s="1" t="s">
        <v>17</v>
      </c>
      <c r="E24" s="3">
        <v>1</v>
      </c>
      <c r="F24" s="3">
        <v>4</v>
      </c>
      <c r="G24" s="3">
        <v>4</v>
      </c>
      <c r="H24" s="3">
        <v>6</v>
      </c>
      <c r="I24" s="2" t="s">
        <v>86</v>
      </c>
      <c r="J24" s="1">
        <v>1</v>
      </c>
      <c r="K24" s="1" t="s">
        <v>34</v>
      </c>
      <c r="L24" s="10">
        <f>VALUE(D24)*J24</f>
        <v>1</v>
      </c>
      <c r="M24" s="10">
        <f>(SUM(E24:H24)/8)*J24</f>
        <v>1.875</v>
      </c>
      <c r="N24" s="23"/>
      <c r="O24" s="52">
        <f t="shared" si="0"/>
        <v>15</v>
      </c>
    </row>
    <row r="25" spans="1:15" ht="15.75" customHeight="1" x14ac:dyDescent="0.35">
      <c r="A25" s="36" t="s">
        <v>87</v>
      </c>
      <c r="B25" s="37"/>
      <c r="C25" s="37"/>
      <c r="D25" s="37"/>
      <c r="E25" s="37"/>
      <c r="F25" s="37"/>
      <c r="G25" s="37"/>
      <c r="H25" s="37"/>
      <c r="I25" s="37"/>
      <c r="J25" s="37"/>
      <c r="K25" s="38"/>
      <c r="L25" s="27"/>
      <c r="M25" s="27"/>
      <c r="N25" s="28"/>
      <c r="O25" s="52">
        <f t="shared" si="0"/>
        <v>0</v>
      </c>
    </row>
    <row r="26" spans="1:15" ht="15.75" customHeight="1" x14ac:dyDescent="0.35">
      <c r="A26" s="1" t="s">
        <v>88</v>
      </c>
      <c r="B26" s="2" t="s">
        <v>89</v>
      </c>
      <c r="C26" s="1" t="s">
        <v>31</v>
      </c>
      <c r="D26" s="1" t="s">
        <v>90</v>
      </c>
      <c r="E26" s="3">
        <v>0.5</v>
      </c>
      <c r="F26" s="3">
        <v>1</v>
      </c>
      <c r="G26" s="3">
        <v>1</v>
      </c>
      <c r="H26" s="3">
        <v>3</v>
      </c>
      <c r="I26" s="2" t="s">
        <v>91</v>
      </c>
      <c r="J26" s="1">
        <v>1</v>
      </c>
      <c r="K26" s="4" t="s">
        <v>19</v>
      </c>
      <c r="L26" s="10">
        <f>VALUE(D26)*J26</f>
        <v>7500</v>
      </c>
      <c r="M26" s="10">
        <f>(SUM(E26:H26)/8)*J26</f>
        <v>0.6875</v>
      </c>
      <c r="N26" s="23"/>
      <c r="O26" s="52">
        <f t="shared" si="0"/>
        <v>5.5</v>
      </c>
    </row>
    <row r="27" spans="1:15" ht="15.75" customHeight="1" x14ac:dyDescent="0.35">
      <c r="A27" s="1" t="s">
        <v>92</v>
      </c>
      <c r="B27" s="2" t="s">
        <v>93</v>
      </c>
      <c r="C27" s="1" t="s">
        <v>31</v>
      </c>
      <c r="D27" s="1" t="s">
        <v>94</v>
      </c>
      <c r="E27" s="3">
        <v>0.5</v>
      </c>
      <c r="F27" s="3">
        <v>1</v>
      </c>
      <c r="G27" s="3">
        <v>1</v>
      </c>
      <c r="H27" s="3">
        <v>2</v>
      </c>
      <c r="I27" s="2" t="s">
        <v>95</v>
      </c>
      <c r="J27" s="1">
        <v>1</v>
      </c>
      <c r="K27" s="1" t="s">
        <v>34</v>
      </c>
      <c r="L27" s="10">
        <f>VALUE(D27)*J27</f>
        <v>10000</v>
      </c>
      <c r="M27" s="10">
        <f>(SUM(E27:H27)/8)*J27</f>
        <v>0.5625</v>
      </c>
      <c r="N27" s="23"/>
      <c r="O27" s="52">
        <f t="shared" si="0"/>
        <v>4.5</v>
      </c>
    </row>
    <row r="28" spans="1:15" ht="15.75" customHeight="1" x14ac:dyDescent="0.35">
      <c r="A28" s="1" t="s">
        <v>96</v>
      </c>
      <c r="B28" s="2" t="s">
        <v>97</v>
      </c>
      <c r="C28" s="1" t="s">
        <v>31</v>
      </c>
      <c r="D28" s="1" t="s">
        <v>98</v>
      </c>
      <c r="E28" s="3">
        <v>1</v>
      </c>
      <c r="F28" s="3">
        <v>4</v>
      </c>
      <c r="G28" s="3">
        <v>2</v>
      </c>
      <c r="H28" s="3">
        <v>5</v>
      </c>
      <c r="I28" s="2" t="s">
        <v>99</v>
      </c>
      <c r="J28" s="1">
        <v>1</v>
      </c>
      <c r="K28" s="4" t="s">
        <v>19</v>
      </c>
      <c r="L28" s="10">
        <f>VALUE(D28)*J28</f>
        <v>2000</v>
      </c>
      <c r="M28" s="10">
        <f>(SUM(E28:H28)/8)*J28</f>
        <v>1.5</v>
      </c>
      <c r="N28" s="23"/>
      <c r="O28" s="52">
        <f t="shared" si="0"/>
        <v>12</v>
      </c>
    </row>
    <row r="29" spans="1:15" ht="15.75" customHeight="1" x14ac:dyDescent="0.35">
      <c r="A29" s="1" t="s">
        <v>100</v>
      </c>
      <c r="B29" s="2" t="s">
        <v>101</v>
      </c>
      <c r="C29" s="1" t="s">
        <v>102</v>
      </c>
      <c r="D29" s="1" t="s">
        <v>83</v>
      </c>
      <c r="E29" s="3">
        <v>0.2</v>
      </c>
      <c r="F29" s="3">
        <v>1</v>
      </c>
      <c r="G29" s="3">
        <v>1</v>
      </c>
      <c r="H29" s="3">
        <v>2</v>
      </c>
      <c r="I29" s="2" t="s">
        <v>103</v>
      </c>
      <c r="J29" s="1">
        <v>1</v>
      </c>
      <c r="K29" s="4" t="s">
        <v>19</v>
      </c>
      <c r="L29" s="10">
        <f>VALUE(D29)*J29</f>
        <v>600</v>
      </c>
      <c r="M29" s="10">
        <f>(SUM(E29:H29)/8)*J29</f>
        <v>0.52500000000000002</v>
      </c>
      <c r="N29" s="23"/>
      <c r="O29" s="52">
        <f t="shared" si="0"/>
        <v>4.2</v>
      </c>
    </row>
    <row r="30" spans="1:15" ht="15.75" customHeight="1" x14ac:dyDescent="0.35"/>
    <row r="31" spans="1:15" ht="15.75" customHeight="1" x14ac:dyDescent="0.35"/>
    <row r="32" spans="1:15" ht="15.75" customHeight="1" x14ac:dyDescent="0.35"/>
    <row r="33" spans="2:11" ht="15.75" customHeight="1" x14ac:dyDescent="0.35"/>
    <row r="34" spans="2:11" ht="15.75" customHeight="1" x14ac:dyDescent="0.35"/>
    <row r="35" spans="2:11" ht="15.75" customHeight="1" x14ac:dyDescent="0.35">
      <c r="B35" t="s">
        <v>288</v>
      </c>
      <c r="C35" t="s">
        <v>289</v>
      </c>
      <c r="D35">
        <v>10</v>
      </c>
      <c r="E35">
        <v>10</v>
      </c>
      <c r="K35">
        <v>5</v>
      </c>
    </row>
    <row r="36" spans="2:11" ht="15.75" customHeight="1" x14ac:dyDescent="0.35">
      <c r="B36" t="s">
        <v>290</v>
      </c>
      <c r="E36">
        <v>10</v>
      </c>
    </row>
    <row r="37" spans="2:11" ht="15.75" customHeight="1" x14ac:dyDescent="0.35"/>
    <row r="38" spans="2:11" ht="15.75" customHeight="1" x14ac:dyDescent="0.35"/>
    <row r="39" spans="2:11" ht="15.75" customHeight="1" x14ac:dyDescent="0.35"/>
    <row r="40" spans="2:11" ht="15.75" customHeight="1" x14ac:dyDescent="0.35"/>
    <row r="41" spans="2:11" ht="15.75" customHeight="1" x14ac:dyDescent="0.35"/>
    <row r="42" spans="2:11" ht="15.75" customHeight="1" x14ac:dyDescent="0.35"/>
    <row r="43" spans="2:11" ht="15.75" customHeight="1" x14ac:dyDescent="0.35"/>
    <row r="44" spans="2:11" ht="15.75" customHeight="1" x14ac:dyDescent="0.35"/>
    <row r="45" spans="2:11" ht="15.75" customHeight="1" x14ac:dyDescent="0.35"/>
    <row r="46" spans="2:11" ht="15.75" customHeight="1" x14ac:dyDescent="0.35"/>
    <row r="47" spans="2:11" ht="15.75" customHeight="1" x14ac:dyDescent="0.35"/>
    <row r="48" spans="2:1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25:K25"/>
    <mergeCell ref="A1:K1"/>
    <mergeCell ref="A2:K2"/>
    <mergeCell ref="A5:K5"/>
    <mergeCell ref="A11:K11"/>
    <mergeCell ref="A21:K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4"/>
  <sheetViews>
    <sheetView tabSelected="1" topLeftCell="B3" zoomScale="85" zoomScaleNormal="85" workbookViewId="0">
      <selection activeCell="L18" sqref="L18"/>
    </sheetView>
  </sheetViews>
  <sheetFormatPr baseColWidth="10" defaultColWidth="9.1796875" defaultRowHeight="14.5" x14ac:dyDescent="0.35"/>
  <cols>
    <col min="1" max="1" width="28.6328125" customWidth="1"/>
    <col min="2" max="2" width="38" customWidth="1"/>
    <col min="3" max="3" width="15" customWidth="1"/>
    <col min="4" max="4" width="12" customWidth="1"/>
    <col min="5" max="5" width="15" customWidth="1"/>
    <col min="6" max="6" width="12" customWidth="1"/>
    <col min="7" max="7" width="16" customWidth="1"/>
    <col min="8" max="9" width="10" customWidth="1"/>
    <col min="10" max="33" width="9" customWidth="1"/>
    <col min="34" max="34" width="15" customWidth="1"/>
    <col min="35" max="39" width="18" customWidth="1"/>
  </cols>
  <sheetData>
    <row r="1" spans="1:39" ht="28" customHeight="1" x14ac:dyDescent="0.35">
      <c r="A1" s="42" t="s">
        <v>108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3" spans="1:39" x14ac:dyDescent="0.35">
      <c r="A3" s="6" t="s">
        <v>109</v>
      </c>
      <c r="B3" s="6" t="s">
        <v>110</v>
      </c>
      <c r="C3" s="6" t="s">
        <v>111</v>
      </c>
      <c r="D3" s="6" t="s">
        <v>106</v>
      </c>
    </row>
    <row r="4" spans="1:39" x14ac:dyDescent="0.35">
      <c r="A4" t="s">
        <v>112</v>
      </c>
      <c r="B4" s="7">
        <v>720</v>
      </c>
      <c r="C4" t="s">
        <v>113</v>
      </c>
      <c r="D4" t="s">
        <v>114</v>
      </c>
    </row>
    <row r="5" spans="1:39" x14ac:dyDescent="0.35">
      <c r="A5" t="s">
        <v>115</v>
      </c>
      <c r="B5" s="7">
        <v>30</v>
      </c>
      <c r="C5" t="s">
        <v>116</v>
      </c>
      <c r="D5" t="s">
        <v>117</v>
      </c>
    </row>
    <row r="6" spans="1:39" x14ac:dyDescent="0.35">
      <c r="A6" t="s">
        <v>118</v>
      </c>
      <c r="B6" s="7"/>
      <c r="C6" t="s">
        <v>119</v>
      </c>
      <c r="D6" t="s">
        <v>120</v>
      </c>
    </row>
    <row r="8" spans="1:39" ht="29" x14ac:dyDescent="0.35">
      <c r="A8" s="8" t="s">
        <v>2</v>
      </c>
      <c r="B8" s="8" t="s">
        <v>121</v>
      </c>
      <c r="C8" s="8" t="s">
        <v>122</v>
      </c>
      <c r="D8" s="8" t="s">
        <v>111</v>
      </c>
      <c r="E8" s="8" t="s">
        <v>123</v>
      </c>
      <c r="F8" s="8" t="s">
        <v>124</v>
      </c>
      <c r="G8" s="8" t="s">
        <v>125</v>
      </c>
      <c r="H8" s="8" t="s">
        <v>126</v>
      </c>
      <c r="I8" s="8" t="s">
        <v>127</v>
      </c>
      <c r="J8" s="8" t="s">
        <v>128</v>
      </c>
      <c r="K8" s="8" t="s">
        <v>129</v>
      </c>
      <c r="L8" s="8" t="s">
        <v>130</v>
      </c>
      <c r="M8" s="8" t="s">
        <v>131</v>
      </c>
      <c r="N8" s="8" t="s">
        <v>132</v>
      </c>
      <c r="O8" s="8" t="s">
        <v>133</v>
      </c>
      <c r="P8" s="8" t="s">
        <v>134</v>
      </c>
      <c r="Q8" s="8" t="s">
        <v>135</v>
      </c>
      <c r="R8" s="8" t="s">
        <v>136</v>
      </c>
      <c r="S8" s="8" t="s">
        <v>137</v>
      </c>
      <c r="T8" s="8" t="s">
        <v>138</v>
      </c>
      <c r="U8" s="8" t="s">
        <v>139</v>
      </c>
      <c r="V8" s="8" t="s">
        <v>140</v>
      </c>
      <c r="W8" s="8" t="s">
        <v>141</v>
      </c>
      <c r="X8" s="8" t="s">
        <v>142</v>
      </c>
      <c r="Y8" s="8" t="s">
        <v>143</v>
      </c>
      <c r="Z8" s="8" t="s">
        <v>144</v>
      </c>
      <c r="AA8" s="8" t="s">
        <v>145</v>
      </c>
      <c r="AB8" s="8" t="s">
        <v>146</v>
      </c>
      <c r="AC8" s="8" t="s">
        <v>147</v>
      </c>
      <c r="AD8" s="8" t="s">
        <v>148</v>
      </c>
      <c r="AE8" s="8" t="s">
        <v>149</v>
      </c>
      <c r="AF8" s="8" t="s">
        <v>150</v>
      </c>
      <c r="AG8" s="8" t="s">
        <v>151</v>
      </c>
      <c r="AH8" s="8" t="s">
        <v>152</v>
      </c>
      <c r="AI8" s="35" t="s">
        <v>153</v>
      </c>
      <c r="AJ8" s="35" t="s">
        <v>154</v>
      </c>
      <c r="AK8" s="35" t="s">
        <v>155</v>
      </c>
      <c r="AL8" s="35" t="s">
        <v>156</v>
      </c>
      <c r="AM8" s="35" t="s">
        <v>157</v>
      </c>
    </row>
    <row r="9" spans="1:39" x14ac:dyDescent="0.35">
      <c r="A9" s="51" t="str">
        <f>'Rendimientos y Cuadrillas'!A6</f>
        <v>1.01</v>
      </c>
      <c r="B9" t="str">
        <f>'Rendimientos y Cuadrillas'!B6</f>
        <v>Movilización y desmovilización de equipo</v>
      </c>
      <c r="C9" s="7">
        <f>VALUE('Rendimientos y Cuadrillas'!D6)</f>
        <v>1</v>
      </c>
      <c r="D9" s="7" t="str">
        <f>'Rendimientos y Cuadrillas'!C6</f>
        <v>GLB</v>
      </c>
      <c r="E9" s="7">
        <f>SUM('Rendimientos y Cuadrillas'!E6:H6)</f>
        <v>9</v>
      </c>
      <c r="F9" s="7">
        <f>'Rendimientos y Cuadrillas'!J6</f>
        <v>1</v>
      </c>
      <c r="G9" s="7">
        <f t="shared" ref="G9:G16" si="0">E9/8*F9</f>
        <v>1.125</v>
      </c>
      <c r="H9" s="11">
        <v>1</v>
      </c>
      <c r="I9" s="11">
        <v>1</v>
      </c>
      <c r="J9" s="7">
        <f t="shared" ref="J9:J16" si="1">IF(AND(1&gt;=$H9,1&lt;=$I9),$G9,0)</f>
        <v>1.125</v>
      </c>
      <c r="K9" s="7">
        <f t="shared" ref="K9:K16" si="2">IF(AND(2&gt;=$H9,2&lt;=$I9),$G9,0)</f>
        <v>0</v>
      </c>
      <c r="L9" s="7">
        <f t="shared" ref="L9:L16" si="3">IF(AND(3&gt;=$H9,3&lt;=$I9),$G9,0)</f>
        <v>0</v>
      </c>
      <c r="M9" s="7">
        <f t="shared" ref="M9:M16" si="4">IF(AND(4&gt;=$H9,4&lt;=$I9),$G9,0)</f>
        <v>0</v>
      </c>
      <c r="N9" s="7">
        <f t="shared" ref="N9:N16" si="5">IF(AND(5&gt;=$H9,5&lt;=$I9),$G9,0)</f>
        <v>0</v>
      </c>
      <c r="O9" s="7">
        <f t="shared" ref="O9:O16" si="6">IF(AND(6&gt;=$H9,6&lt;=$I9),$G9,0)</f>
        <v>0</v>
      </c>
      <c r="P9" s="7">
        <f t="shared" ref="P9:P16" si="7">IF(AND(7&gt;=$H9,7&lt;=$I9),$G9,0)</f>
        <v>0</v>
      </c>
      <c r="Q9" s="7">
        <f t="shared" ref="Q9:Q16" si="8">IF(AND(8&gt;=$H9,8&lt;=$I9),$G9,0)</f>
        <v>0</v>
      </c>
      <c r="R9" s="7">
        <f t="shared" ref="R9:R16" si="9">IF(AND(9&gt;=$H9,9&lt;=$I9),$G9,0)</f>
        <v>0</v>
      </c>
      <c r="S9" s="7">
        <f t="shared" ref="S9:S16" si="10">IF(AND(10&gt;=$H9,10&lt;=$I9),$G9,0)</f>
        <v>0</v>
      </c>
      <c r="T9" s="7">
        <f t="shared" ref="T9:T16" si="11">IF(AND(11&gt;=$H9,11&lt;=$I9),$G9,0)</f>
        <v>0</v>
      </c>
      <c r="U9" s="7">
        <f t="shared" ref="U9:U16" si="12">IF(AND(12&gt;=$H9,12&lt;=$I9),$G9,0)</f>
        <v>0</v>
      </c>
      <c r="V9" s="7">
        <f t="shared" ref="V9:V16" si="13">IF(AND(13&gt;=$H9,13&lt;=$I9),$G9,0)</f>
        <v>0</v>
      </c>
      <c r="W9" s="7">
        <f t="shared" ref="W9:W16" si="14">IF(AND(14&gt;=$H9,14&lt;=$I9),$G9,0)</f>
        <v>0</v>
      </c>
      <c r="X9" s="7">
        <f t="shared" ref="X9:X16" si="15">IF(AND(15&gt;=$H9,15&lt;=$I9),$G9,0)</f>
        <v>0</v>
      </c>
      <c r="Y9" s="7">
        <f t="shared" ref="Y9:Y16" si="16">IF(AND(16&gt;=$H9,16&lt;=$I9),$G9,0)</f>
        <v>0</v>
      </c>
      <c r="Z9" s="7">
        <f t="shared" ref="Z9:Z16" si="17">IF(AND(17&gt;=$H9,17&lt;=$I9),$G9,0)</f>
        <v>0</v>
      </c>
      <c r="AA9" s="7">
        <f t="shared" ref="AA9:AA16" si="18">IF(AND(18&gt;=$H9,18&lt;=$I9),$G9,0)</f>
        <v>0</v>
      </c>
      <c r="AB9" s="7">
        <f t="shared" ref="AB9:AB16" si="19">IF(AND(19&gt;=$H9,19&lt;=$I9),$G9,0)</f>
        <v>0</v>
      </c>
      <c r="AC9" s="7">
        <f t="shared" ref="AC9:AC16" si="20">IF(AND(20&gt;=$H9,20&lt;=$I9),$G9,0)</f>
        <v>0</v>
      </c>
      <c r="AD9" s="7">
        <f t="shared" ref="AD9:AD16" si="21">IF(AND(21&gt;=$H9,21&lt;=$I9),$G9,0)</f>
        <v>0</v>
      </c>
      <c r="AE9" s="7">
        <f t="shared" ref="AE9:AE16" si="22">IF(AND(22&gt;=$H9,22&lt;=$I9),$G9,0)</f>
        <v>0</v>
      </c>
      <c r="AF9" s="7">
        <f t="shared" ref="AF9:AF16" si="23">IF(AND(23&gt;=$H9,23&lt;=$I9),$G9,0)</f>
        <v>0</v>
      </c>
      <c r="AG9" s="7">
        <f t="shared" ref="AG9:AG16" si="24">IF(AND(24&gt;=$H9,24&lt;=$I9),$G9,0)</f>
        <v>0</v>
      </c>
      <c r="AH9" s="10">
        <f t="shared" ref="AH9:AH29" si="25">SUM(J9:AG9)*8*$B$5</f>
        <v>270</v>
      </c>
    </row>
    <row r="10" spans="1:39" x14ac:dyDescent="0.35">
      <c r="A10" s="51" t="str">
        <f>'Rendimientos y Cuadrillas'!A7</f>
        <v>1.02</v>
      </c>
      <c r="B10" t="str">
        <f>'Rendimientos y Cuadrillas'!B7</f>
        <v>Topografía y georreferenciación</v>
      </c>
      <c r="C10" s="7">
        <f>VALUE('Rendimientos y Cuadrillas'!D7)</f>
        <v>0.5</v>
      </c>
      <c r="D10" s="7" t="str">
        <f>'Rendimientos y Cuadrillas'!C7</f>
        <v>KM/día</v>
      </c>
      <c r="E10" s="7">
        <f>SUM('Rendimientos y Cuadrillas'!E7:H7)</f>
        <v>5</v>
      </c>
      <c r="F10" s="7">
        <f>'Rendimientos y Cuadrillas'!J7</f>
        <v>1</v>
      </c>
      <c r="G10" s="7">
        <f t="shared" si="0"/>
        <v>0.625</v>
      </c>
      <c r="H10" s="11">
        <v>1</v>
      </c>
      <c r="I10" s="11">
        <v>24</v>
      </c>
      <c r="J10" s="7">
        <f t="shared" si="1"/>
        <v>0.625</v>
      </c>
      <c r="K10" s="7">
        <f t="shared" si="2"/>
        <v>0.625</v>
      </c>
      <c r="L10" s="7">
        <f t="shared" si="3"/>
        <v>0.625</v>
      </c>
      <c r="M10" s="7">
        <f t="shared" si="4"/>
        <v>0.625</v>
      </c>
      <c r="N10" s="7">
        <f t="shared" si="5"/>
        <v>0.625</v>
      </c>
      <c r="O10" s="7">
        <f t="shared" si="6"/>
        <v>0.625</v>
      </c>
      <c r="P10" s="7">
        <f t="shared" si="7"/>
        <v>0.625</v>
      </c>
      <c r="Q10" s="7">
        <f t="shared" si="8"/>
        <v>0.625</v>
      </c>
      <c r="R10" s="7">
        <f t="shared" si="9"/>
        <v>0.625</v>
      </c>
      <c r="S10" s="7">
        <f t="shared" si="10"/>
        <v>0.625</v>
      </c>
      <c r="T10" s="7">
        <f t="shared" si="11"/>
        <v>0.625</v>
      </c>
      <c r="U10" s="7">
        <f t="shared" si="12"/>
        <v>0.625</v>
      </c>
      <c r="V10" s="7">
        <f t="shared" si="13"/>
        <v>0.625</v>
      </c>
      <c r="W10" s="7">
        <f t="shared" si="14"/>
        <v>0.625</v>
      </c>
      <c r="X10" s="7">
        <f t="shared" si="15"/>
        <v>0.625</v>
      </c>
      <c r="Y10" s="7">
        <f t="shared" si="16"/>
        <v>0.625</v>
      </c>
      <c r="Z10" s="7">
        <f t="shared" si="17"/>
        <v>0.625</v>
      </c>
      <c r="AA10" s="7">
        <f t="shared" si="18"/>
        <v>0.625</v>
      </c>
      <c r="AB10" s="7">
        <f t="shared" si="19"/>
        <v>0.625</v>
      </c>
      <c r="AC10" s="7">
        <f t="shared" si="20"/>
        <v>0.625</v>
      </c>
      <c r="AD10" s="7">
        <f t="shared" si="21"/>
        <v>0.625</v>
      </c>
      <c r="AE10" s="7">
        <f t="shared" si="22"/>
        <v>0.625</v>
      </c>
      <c r="AF10" s="7">
        <f t="shared" si="23"/>
        <v>0.625</v>
      </c>
      <c r="AG10" s="7">
        <f t="shared" si="24"/>
        <v>0.625</v>
      </c>
      <c r="AH10" s="10">
        <f t="shared" si="25"/>
        <v>3600</v>
      </c>
    </row>
    <row r="11" spans="1:39" x14ac:dyDescent="0.35">
      <c r="A11" s="51" t="str">
        <f>'Rendimientos y Cuadrillas'!A8</f>
        <v>1.03</v>
      </c>
      <c r="B11" t="str">
        <f>'Rendimientos y Cuadrillas'!B8</f>
        <v>Mantenimiento de tránsito y seg. vial</v>
      </c>
      <c r="C11" s="7">
        <f>VALUE('Rendimientos y Cuadrillas'!D8)</f>
        <v>1</v>
      </c>
      <c r="D11" s="7" t="str">
        <f>'Rendimientos y Cuadrillas'!C8</f>
        <v>MES</v>
      </c>
      <c r="E11" s="7">
        <f>SUM('Rendimientos y Cuadrillas'!E8:H8)</f>
        <v>3.1</v>
      </c>
      <c r="F11" s="7">
        <f>'Rendimientos y Cuadrillas'!J8</f>
        <v>1</v>
      </c>
      <c r="G11" s="7">
        <f t="shared" si="0"/>
        <v>0.38750000000000001</v>
      </c>
      <c r="H11" s="11">
        <v>1</v>
      </c>
      <c r="I11" s="11">
        <v>24</v>
      </c>
      <c r="J11" s="7">
        <f t="shared" si="1"/>
        <v>0.38750000000000001</v>
      </c>
      <c r="K11" s="7">
        <f t="shared" si="2"/>
        <v>0.38750000000000001</v>
      </c>
      <c r="L11" s="7">
        <f t="shared" si="3"/>
        <v>0.38750000000000001</v>
      </c>
      <c r="M11" s="7">
        <f t="shared" si="4"/>
        <v>0.38750000000000001</v>
      </c>
      <c r="N11" s="7">
        <f t="shared" si="5"/>
        <v>0.38750000000000001</v>
      </c>
      <c r="O11" s="7">
        <f t="shared" si="6"/>
        <v>0.38750000000000001</v>
      </c>
      <c r="P11" s="7">
        <f t="shared" si="7"/>
        <v>0.38750000000000001</v>
      </c>
      <c r="Q11" s="7">
        <f t="shared" si="8"/>
        <v>0.38750000000000001</v>
      </c>
      <c r="R11" s="7">
        <f t="shared" si="9"/>
        <v>0.38750000000000001</v>
      </c>
      <c r="S11" s="7">
        <f t="shared" si="10"/>
        <v>0.38750000000000001</v>
      </c>
      <c r="T11" s="7">
        <f t="shared" si="11"/>
        <v>0.38750000000000001</v>
      </c>
      <c r="U11" s="7">
        <f t="shared" si="12"/>
        <v>0.38750000000000001</v>
      </c>
      <c r="V11" s="7">
        <f t="shared" si="13"/>
        <v>0.38750000000000001</v>
      </c>
      <c r="W11" s="7">
        <f t="shared" si="14"/>
        <v>0.38750000000000001</v>
      </c>
      <c r="X11" s="7">
        <f t="shared" si="15"/>
        <v>0.38750000000000001</v>
      </c>
      <c r="Y11" s="7">
        <f t="shared" si="16"/>
        <v>0.38750000000000001</v>
      </c>
      <c r="Z11" s="7">
        <f t="shared" si="17"/>
        <v>0.38750000000000001</v>
      </c>
      <c r="AA11" s="7">
        <f t="shared" si="18"/>
        <v>0.38750000000000001</v>
      </c>
      <c r="AB11" s="7">
        <f t="shared" si="19"/>
        <v>0.38750000000000001</v>
      </c>
      <c r="AC11" s="7">
        <f t="shared" si="20"/>
        <v>0.38750000000000001</v>
      </c>
      <c r="AD11" s="7">
        <f t="shared" si="21"/>
        <v>0.38750000000000001</v>
      </c>
      <c r="AE11" s="7">
        <f t="shared" si="22"/>
        <v>0.38750000000000001</v>
      </c>
      <c r="AF11" s="7">
        <f t="shared" si="23"/>
        <v>0.38750000000000001</v>
      </c>
      <c r="AG11" s="7">
        <f t="shared" si="24"/>
        <v>0.38750000000000001</v>
      </c>
      <c r="AH11" s="10">
        <f t="shared" si="25"/>
        <v>2232</v>
      </c>
    </row>
    <row r="12" spans="1:39" x14ac:dyDescent="0.35">
      <c r="A12" s="51" t="str">
        <f>'Rendimientos y Cuadrillas'!A9</f>
        <v>1.04</v>
      </c>
      <c r="B12" t="str">
        <f>'Rendimientos y Cuadrillas'!B9</f>
        <v>Campamento y patio de máquinas</v>
      </c>
      <c r="C12" s="7">
        <f>VALUE('Rendimientos y Cuadrillas'!D9)</f>
        <v>50</v>
      </c>
      <c r="D12" s="7" t="str">
        <f>'Rendimientos y Cuadrillas'!C9</f>
        <v>M2/día</v>
      </c>
      <c r="E12" s="7">
        <f>SUM('Rendimientos y Cuadrillas'!E9:H9)</f>
        <v>6.2</v>
      </c>
      <c r="F12" s="7">
        <f>'Rendimientos y Cuadrillas'!J9</f>
        <v>1</v>
      </c>
      <c r="G12" s="7">
        <f t="shared" si="0"/>
        <v>0.77500000000000002</v>
      </c>
      <c r="H12" s="11">
        <v>1</v>
      </c>
      <c r="I12" s="11">
        <v>2</v>
      </c>
      <c r="J12" s="7">
        <f t="shared" si="1"/>
        <v>0.77500000000000002</v>
      </c>
      <c r="K12" s="7">
        <f t="shared" si="2"/>
        <v>0.77500000000000002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7">
        <f t="shared" si="6"/>
        <v>0</v>
      </c>
      <c r="P12" s="7">
        <f t="shared" si="7"/>
        <v>0</v>
      </c>
      <c r="Q12" s="7">
        <f t="shared" si="8"/>
        <v>0</v>
      </c>
      <c r="R12" s="7">
        <f t="shared" si="9"/>
        <v>0</v>
      </c>
      <c r="S12" s="7">
        <f t="shared" si="10"/>
        <v>0</v>
      </c>
      <c r="T12" s="7">
        <f t="shared" si="11"/>
        <v>0</v>
      </c>
      <c r="U12" s="7">
        <f t="shared" si="12"/>
        <v>0</v>
      </c>
      <c r="V12" s="7">
        <f t="shared" si="13"/>
        <v>0</v>
      </c>
      <c r="W12" s="7">
        <f t="shared" si="14"/>
        <v>0</v>
      </c>
      <c r="X12" s="7">
        <f t="shared" si="15"/>
        <v>0</v>
      </c>
      <c r="Y12" s="7">
        <f t="shared" si="16"/>
        <v>0</v>
      </c>
      <c r="Z12" s="7">
        <f t="shared" si="17"/>
        <v>0</v>
      </c>
      <c r="AA12" s="7">
        <f t="shared" si="18"/>
        <v>0</v>
      </c>
      <c r="AB12" s="7">
        <f t="shared" si="19"/>
        <v>0</v>
      </c>
      <c r="AC12" s="7">
        <f t="shared" si="20"/>
        <v>0</v>
      </c>
      <c r="AD12" s="7">
        <f t="shared" si="21"/>
        <v>0</v>
      </c>
      <c r="AE12" s="7">
        <f t="shared" si="22"/>
        <v>0</v>
      </c>
      <c r="AF12" s="7">
        <f t="shared" si="23"/>
        <v>0</v>
      </c>
      <c r="AG12" s="7">
        <f t="shared" si="24"/>
        <v>0</v>
      </c>
      <c r="AH12" s="10">
        <f t="shared" si="25"/>
        <v>372</v>
      </c>
    </row>
    <row r="13" spans="1:39" x14ac:dyDescent="0.35">
      <c r="A13" s="51" t="str">
        <f>'Rendimientos y Cuadrillas'!A10</f>
        <v>1.05</v>
      </c>
      <c r="B13" t="str">
        <f>'Rendimientos y Cuadrillas'!B10</f>
        <v>Cartel de obra 2.40 x 3.60 m</v>
      </c>
      <c r="C13" s="7">
        <f>VALUE('Rendimientos y Cuadrillas'!D10)</f>
        <v>1</v>
      </c>
      <c r="D13" s="7" t="str">
        <f>'Rendimientos y Cuadrillas'!C10</f>
        <v>UND/día</v>
      </c>
      <c r="E13" s="7">
        <f>SUM('Rendimientos y Cuadrillas'!E10:H10)</f>
        <v>4.2</v>
      </c>
      <c r="F13" s="7">
        <f>'Rendimientos y Cuadrillas'!J10</f>
        <v>1</v>
      </c>
      <c r="G13" s="7">
        <f t="shared" si="0"/>
        <v>0.52500000000000002</v>
      </c>
      <c r="H13" s="11">
        <v>1</v>
      </c>
      <c r="I13" s="11">
        <v>1</v>
      </c>
      <c r="J13" s="7">
        <f t="shared" si="1"/>
        <v>0.52500000000000002</v>
      </c>
      <c r="K13" s="7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7">
        <f t="shared" si="6"/>
        <v>0</v>
      </c>
      <c r="P13" s="7">
        <f t="shared" si="7"/>
        <v>0</v>
      </c>
      <c r="Q13" s="7">
        <f t="shared" si="8"/>
        <v>0</v>
      </c>
      <c r="R13" s="7">
        <f t="shared" si="9"/>
        <v>0</v>
      </c>
      <c r="S13" s="7">
        <f t="shared" si="10"/>
        <v>0</v>
      </c>
      <c r="T13" s="7">
        <f t="shared" si="11"/>
        <v>0</v>
      </c>
      <c r="U13" s="7">
        <f t="shared" si="12"/>
        <v>0</v>
      </c>
      <c r="V13" s="7">
        <f t="shared" si="13"/>
        <v>0</v>
      </c>
      <c r="W13" s="7">
        <f t="shared" si="14"/>
        <v>0</v>
      </c>
      <c r="X13" s="7">
        <f t="shared" si="15"/>
        <v>0</v>
      </c>
      <c r="Y13" s="7">
        <f t="shared" si="16"/>
        <v>0</v>
      </c>
      <c r="Z13" s="7">
        <f t="shared" si="17"/>
        <v>0</v>
      </c>
      <c r="AA13" s="7">
        <f t="shared" si="18"/>
        <v>0</v>
      </c>
      <c r="AB13" s="7">
        <f t="shared" si="19"/>
        <v>0</v>
      </c>
      <c r="AC13" s="7">
        <f t="shared" si="20"/>
        <v>0</v>
      </c>
      <c r="AD13" s="7">
        <f t="shared" si="21"/>
        <v>0</v>
      </c>
      <c r="AE13" s="7">
        <f t="shared" si="22"/>
        <v>0</v>
      </c>
      <c r="AF13" s="7">
        <f t="shared" si="23"/>
        <v>0</v>
      </c>
      <c r="AG13" s="7">
        <f t="shared" si="24"/>
        <v>0</v>
      </c>
      <c r="AH13" s="10">
        <f t="shared" si="25"/>
        <v>126</v>
      </c>
    </row>
    <row r="14" spans="1:39" x14ac:dyDescent="0.35">
      <c r="A14" s="51" t="str">
        <f>'Rendimientos y Cuadrillas'!A12</f>
        <v>2.01</v>
      </c>
      <c r="B14" t="str">
        <f>'Rendimientos y Cuadrillas'!B12</f>
        <v>Desbroce y limpieza en zonas no boscosas</v>
      </c>
      <c r="C14" s="7">
        <f>VALUE('Rendimientos y Cuadrillas'!D12)</f>
        <v>0.25</v>
      </c>
      <c r="D14" s="7" t="str">
        <f>'Rendimientos y Cuadrillas'!C12</f>
        <v>HA/día</v>
      </c>
      <c r="E14" s="7">
        <f>SUM('Rendimientos y Cuadrillas'!E12:H12)</f>
        <v>3.5</v>
      </c>
      <c r="F14" s="7">
        <f>'Rendimientos y Cuadrillas'!J12</f>
        <v>1</v>
      </c>
      <c r="G14" s="7">
        <f t="shared" si="0"/>
        <v>0.4375</v>
      </c>
      <c r="H14" s="11">
        <v>2</v>
      </c>
      <c r="I14" s="11">
        <v>3</v>
      </c>
      <c r="J14" s="7">
        <f t="shared" si="1"/>
        <v>0</v>
      </c>
      <c r="K14" s="7">
        <f t="shared" si="2"/>
        <v>0.4375</v>
      </c>
      <c r="L14" s="7">
        <f t="shared" si="3"/>
        <v>0.4375</v>
      </c>
      <c r="M14" s="7">
        <f t="shared" si="4"/>
        <v>0</v>
      </c>
      <c r="N14" s="7">
        <f t="shared" si="5"/>
        <v>0</v>
      </c>
      <c r="O14" s="7">
        <f t="shared" si="6"/>
        <v>0</v>
      </c>
      <c r="P14" s="7">
        <f t="shared" si="7"/>
        <v>0</v>
      </c>
      <c r="Q14" s="7">
        <f t="shared" si="8"/>
        <v>0</v>
      </c>
      <c r="R14" s="7">
        <f t="shared" si="9"/>
        <v>0</v>
      </c>
      <c r="S14" s="7">
        <f t="shared" si="10"/>
        <v>0</v>
      </c>
      <c r="T14" s="7">
        <f t="shared" si="11"/>
        <v>0</v>
      </c>
      <c r="U14" s="7">
        <f t="shared" si="12"/>
        <v>0</v>
      </c>
      <c r="V14" s="7">
        <f t="shared" si="13"/>
        <v>0</v>
      </c>
      <c r="W14" s="7">
        <f t="shared" si="14"/>
        <v>0</v>
      </c>
      <c r="X14" s="7">
        <f t="shared" si="15"/>
        <v>0</v>
      </c>
      <c r="Y14" s="7">
        <f t="shared" si="16"/>
        <v>0</v>
      </c>
      <c r="Z14" s="7">
        <f t="shared" si="17"/>
        <v>0</v>
      </c>
      <c r="AA14" s="7">
        <f t="shared" si="18"/>
        <v>0</v>
      </c>
      <c r="AB14" s="7">
        <f t="shared" si="19"/>
        <v>0</v>
      </c>
      <c r="AC14" s="7">
        <f t="shared" si="20"/>
        <v>0</v>
      </c>
      <c r="AD14" s="7">
        <f t="shared" si="21"/>
        <v>0</v>
      </c>
      <c r="AE14" s="7">
        <f t="shared" si="22"/>
        <v>0</v>
      </c>
      <c r="AF14" s="7">
        <f t="shared" si="23"/>
        <v>0</v>
      </c>
      <c r="AG14" s="7">
        <f t="shared" si="24"/>
        <v>0</v>
      </c>
      <c r="AH14" s="10">
        <f t="shared" si="25"/>
        <v>210</v>
      </c>
    </row>
    <row r="15" spans="1:39" x14ac:dyDescent="0.35">
      <c r="A15" s="51" t="str">
        <f>'Rendimientos y Cuadrillas'!A13</f>
        <v>2.02</v>
      </c>
      <c r="B15" t="str">
        <f>'Rendimientos y Cuadrillas'!B13</f>
        <v>Excavación en tierra suelta</v>
      </c>
      <c r="C15" s="7">
        <f>VALUE('Rendimientos y Cuadrillas'!D13)</f>
        <v>750</v>
      </c>
      <c r="D15" s="7" t="str">
        <f>'Rendimientos y Cuadrillas'!C13</f>
        <v>M3/día</v>
      </c>
      <c r="E15" s="7">
        <f>SUM('Rendimientos y Cuadrillas'!E13:H13)</f>
        <v>6</v>
      </c>
      <c r="F15" s="7">
        <f>'Rendimientos y Cuadrillas'!J13</f>
        <v>1</v>
      </c>
      <c r="G15" s="7">
        <f t="shared" si="0"/>
        <v>0.75</v>
      </c>
      <c r="H15" s="11">
        <v>3</v>
      </c>
      <c r="I15" s="11">
        <v>7</v>
      </c>
      <c r="J15" s="7">
        <f t="shared" si="1"/>
        <v>0</v>
      </c>
      <c r="K15" s="7">
        <f t="shared" si="2"/>
        <v>0</v>
      </c>
      <c r="L15" s="7">
        <f t="shared" si="3"/>
        <v>0.75</v>
      </c>
      <c r="M15" s="7">
        <f t="shared" si="4"/>
        <v>0.75</v>
      </c>
      <c r="N15" s="7">
        <f t="shared" si="5"/>
        <v>0.75</v>
      </c>
      <c r="O15" s="7">
        <f t="shared" si="6"/>
        <v>0.75</v>
      </c>
      <c r="P15" s="7">
        <f t="shared" si="7"/>
        <v>0.75</v>
      </c>
      <c r="Q15" s="7">
        <f t="shared" si="8"/>
        <v>0</v>
      </c>
      <c r="R15" s="7">
        <f t="shared" si="9"/>
        <v>0</v>
      </c>
      <c r="S15" s="7">
        <f t="shared" si="10"/>
        <v>0</v>
      </c>
      <c r="T15" s="7">
        <f t="shared" si="11"/>
        <v>0</v>
      </c>
      <c r="U15" s="7">
        <f t="shared" si="12"/>
        <v>0</v>
      </c>
      <c r="V15" s="7">
        <f t="shared" si="13"/>
        <v>0</v>
      </c>
      <c r="W15" s="7">
        <f t="shared" si="14"/>
        <v>0</v>
      </c>
      <c r="X15" s="7">
        <f t="shared" si="15"/>
        <v>0</v>
      </c>
      <c r="Y15" s="7">
        <f t="shared" si="16"/>
        <v>0</v>
      </c>
      <c r="Z15" s="7">
        <f t="shared" si="17"/>
        <v>0</v>
      </c>
      <c r="AA15" s="7">
        <f t="shared" si="18"/>
        <v>0</v>
      </c>
      <c r="AB15" s="7">
        <f t="shared" si="19"/>
        <v>0</v>
      </c>
      <c r="AC15" s="7">
        <f t="shared" si="20"/>
        <v>0</v>
      </c>
      <c r="AD15" s="7">
        <f t="shared" si="21"/>
        <v>0</v>
      </c>
      <c r="AE15" s="7">
        <f t="shared" si="22"/>
        <v>0</v>
      </c>
      <c r="AF15" s="7">
        <f t="shared" si="23"/>
        <v>0</v>
      </c>
      <c r="AG15" s="7">
        <f t="shared" si="24"/>
        <v>0</v>
      </c>
      <c r="AH15" s="10">
        <f t="shared" si="25"/>
        <v>900</v>
      </c>
    </row>
    <row r="16" spans="1:39" x14ac:dyDescent="0.35">
      <c r="A16" s="51" t="str">
        <f>'Rendimientos y Cuadrillas'!A14</f>
        <v>2.03</v>
      </c>
      <c r="B16" t="str">
        <f>'Rendimientos y Cuadrillas'!B14</f>
        <v>Excavación en roca suelta</v>
      </c>
      <c r="C16" s="7">
        <f>VALUE('Rendimientos y Cuadrillas'!D14)</f>
        <v>400</v>
      </c>
      <c r="D16" s="7" t="str">
        <f>'Rendimientos y Cuadrillas'!C14</f>
        <v>M3/día</v>
      </c>
      <c r="E16" s="7">
        <f>SUM('Rendimientos y Cuadrillas'!E14:H14)</f>
        <v>6</v>
      </c>
      <c r="F16" s="7">
        <f>'Rendimientos y Cuadrillas'!J14</f>
        <v>1</v>
      </c>
      <c r="G16" s="7">
        <f t="shared" si="0"/>
        <v>0.75</v>
      </c>
      <c r="H16" s="11">
        <v>4</v>
      </c>
      <c r="I16" s="11">
        <v>7</v>
      </c>
      <c r="J16" s="7">
        <f t="shared" si="1"/>
        <v>0</v>
      </c>
      <c r="K16" s="7">
        <f t="shared" si="2"/>
        <v>0</v>
      </c>
      <c r="L16" s="7">
        <f t="shared" si="3"/>
        <v>0</v>
      </c>
      <c r="M16" s="7">
        <f t="shared" si="4"/>
        <v>0.75</v>
      </c>
      <c r="N16" s="7">
        <f t="shared" si="5"/>
        <v>0.75</v>
      </c>
      <c r="O16" s="7">
        <f t="shared" si="6"/>
        <v>0.75</v>
      </c>
      <c r="P16" s="7">
        <f t="shared" si="7"/>
        <v>0.75</v>
      </c>
      <c r="Q16" s="7">
        <f t="shared" si="8"/>
        <v>0</v>
      </c>
      <c r="R16" s="7">
        <f t="shared" si="9"/>
        <v>0</v>
      </c>
      <c r="S16" s="7">
        <f t="shared" si="10"/>
        <v>0</v>
      </c>
      <c r="T16" s="7">
        <f t="shared" si="11"/>
        <v>0</v>
      </c>
      <c r="U16" s="7">
        <f t="shared" si="12"/>
        <v>0</v>
      </c>
      <c r="V16" s="7">
        <f t="shared" si="13"/>
        <v>0</v>
      </c>
      <c r="W16" s="7">
        <f t="shared" si="14"/>
        <v>0</v>
      </c>
      <c r="X16" s="7">
        <f t="shared" si="15"/>
        <v>0</v>
      </c>
      <c r="Y16" s="7">
        <f t="shared" si="16"/>
        <v>0</v>
      </c>
      <c r="Z16" s="7">
        <f t="shared" si="17"/>
        <v>0</v>
      </c>
      <c r="AA16" s="7">
        <f t="shared" si="18"/>
        <v>0</v>
      </c>
      <c r="AB16" s="7">
        <f t="shared" si="19"/>
        <v>0</v>
      </c>
      <c r="AC16" s="7">
        <f t="shared" si="20"/>
        <v>0</v>
      </c>
      <c r="AD16" s="7">
        <f t="shared" si="21"/>
        <v>0</v>
      </c>
      <c r="AE16" s="7">
        <f t="shared" si="22"/>
        <v>0</v>
      </c>
      <c r="AF16" s="7">
        <f t="shared" si="23"/>
        <v>0</v>
      </c>
      <c r="AG16" s="7">
        <f t="shared" si="24"/>
        <v>0</v>
      </c>
      <c r="AH16" s="10">
        <f t="shared" si="25"/>
        <v>720</v>
      </c>
    </row>
    <row r="17" spans="1:39" x14ac:dyDescent="0.35">
      <c r="A17" s="51" t="str">
        <f>'Rendimientos y Cuadrillas'!A15</f>
        <v>2.04</v>
      </c>
      <c r="B17" t="str">
        <f>'Rendimientos y Cuadrillas'!B15</f>
        <v>Excavación en roca fija</v>
      </c>
      <c r="C17" s="7">
        <f>VALUE('Rendimientos y Cuadrillas'!D15)</f>
        <v>112854.85</v>
      </c>
      <c r="D17" s="7" t="str">
        <f>'Rendimientos y Cuadrillas'!C15</f>
        <v>M3/día</v>
      </c>
      <c r="E17" s="7">
        <f>SUM('Rendimientos y Cuadrillas'!E15:H15)</f>
        <v>10</v>
      </c>
      <c r="F17" s="7">
        <f>'Rendimientos y Cuadrillas'!J15</f>
        <v>6</v>
      </c>
      <c r="G17" s="7">
        <f>(E17/8)*F17</f>
        <v>7.5</v>
      </c>
      <c r="H17" s="11">
        <v>5</v>
      </c>
      <c r="I17" s="11">
        <v>8</v>
      </c>
      <c r="J17" s="7">
        <v>0</v>
      </c>
      <c r="K17" s="7">
        <v>0</v>
      </c>
      <c r="L17" s="7">
        <v>0</v>
      </c>
      <c r="M17" s="7">
        <v>0</v>
      </c>
      <c r="N17" s="7">
        <f>G17*(16/30)</f>
        <v>4</v>
      </c>
      <c r="O17" s="7">
        <f>G17</f>
        <v>7.5</v>
      </c>
      <c r="P17" s="7">
        <f>G17</f>
        <v>7.5</v>
      </c>
      <c r="Q17" s="7">
        <f>G17*(25/30)</f>
        <v>6.25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10">
        <f t="shared" si="25"/>
        <v>6060</v>
      </c>
      <c r="AI17" s="10">
        <v>112854.85</v>
      </c>
      <c r="AJ17" s="10">
        <f>C17*F17</f>
        <v>677129.10000000009</v>
      </c>
      <c r="AK17" s="10">
        <f>ROUNDUP(AI17/AJ17,0)</f>
        <v>1</v>
      </c>
      <c r="AL17" s="20">
        <v>46425</v>
      </c>
      <c r="AM17" s="20">
        <f>AL17+AK17-1</f>
        <v>46425</v>
      </c>
    </row>
    <row r="18" spans="1:39" x14ac:dyDescent="0.35">
      <c r="A18" s="51" t="str">
        <f>'Rendimientos y Cuadrillas'!A16</f>
        <v>2.05</v>
      </c>
      <c r="B18" t="str">
        <f>'Rendimientos y Cuadrillas'!B16</f>
        <v>Terraplenes con material propio</v>
      </c>
      <c r="C18" s="7">
        <f>VALUE('Rendimientos y Cuadrillas'!D16)</f>
        <v>450</v>
      </c>
      <c r="D18" s="7" t="str">
        <f>'Rendimientos y Cuadrillas'!C16</f>
        <v>M3/día</v>
      </c>
      <c r="E18" s="7">
        <f>SUM('Rendimientos y Cuadrillas'!E16:H16)</f>
        <v>5.5</v>
      </c>
      <c r="F18" s="7">
        <f>'Rendimientos y Cuadrillas'!J16</f>
        <v>1</v>
      </c>
      <c r="G18" s="7">
        <f t="shared" ref="G18:G29" si="26">E18/8*F18</f>
        <v>0.6875</v>
      </c>
      <c r="H18" s="11">
        <v>6</v>
      </c>
      <c r="I18" s="11">
        <v>10</v>
      </c>
      <c r="J18" s="7">
        <f t="shared" ref="J18:J29" si="27">IF(AND(1&gt;=$H18,1&lt;=$I18),$G18,0)</f>
        <v>0</v>
      </c>
      <c r="K18" s="7">
        <f t="shared" ref="K18:K29" si="28">IF(AND(2&gt;=$H18,2&lt;=$I18),$G18,0)</f>
        <v>0</v>
      </c>
      <c r="L18" s="7">
        <f t="shared" ref="L18:L29" si="29">IF(AND(3&gt;=$H18,3&lt;=$I18),$G18,0)</f>
        <v>0</v>
      </c>
      <c r="M18" s="7">
        <f t="shared" ref="M18:M29" si="30">IF(AND(4&gt;=$H18,4&lt;=$I18),$G18,0)</f>
        <v>0</v>
      </c>
      <c r="N18" s="7">
        <f t="shared" ref="N18:N29" si="31">IF(AND(5&gt;=$H18,5&lt;=$I18),$G18,0)</f>
        <v>0</v>
      </c>
      <c r="O18" s="7">
        <f t="shared" ref="O18:O29" si="32">IF(AND(6&gt;=$H18,6&lt;=$I18),$G18,0)</f>
        <v>0.6875</v>
      </c>
      <c r="P18" s="7">
        <f t="shared" ref="P18:P29" si="33">IF(AND(7&gt;=$H18,7&lt;=$I18),$G18,0)</f>
        <v>0.6875</v>
      </c>
      <c r="Q18" s="7">
        <f t="shared" ref="Q18:Q29" si="34">IF(AND(8&gt;=$H18,8&lt;=$I18),$G18,0)</f>
        <v>0.6875</v>
      </c>
      <c r="R18" s="7">
        <f t="shared" ref="R18:R29" si="35">IF(AND(9&gt;=$H18,9&lt;=$I18),$G18,0)</f>
        <v>0.6875</v>
      </c>
      <c r="S18" s="7">
        <f t="shared" ref="S18:S29" si="36">IF(AND(10&gt;=$H18,10&lt;=$I18),$G18,0)</f>
        <v>0.6875</v>
      </c>
      <c r="T18" s="7">
        <f t="shared" ref="T18:T29" si="37">IF(AND(11&gt;=$H18,11&lt;=$I18),$G18,0)</f>
        <v>0</v>
      </c>
      <c r="U18" s="7">
        <f t="shared" ref="U18:U29" si="38">IF(AND(12&gt;=$H18,12&lt;=$I18),$G18,0)</f>
        <v>0</v>
      </c>
      <c r="V18" s="7">
        <f t="shared" ref="V18:V29" si="39">IF(AND(13&gt;=$H18,13&lt;=$I18),$G18,0)</f>
        <v>0</v>
      </c>
      <c r="W18" s="7">
        <f t="shared" ref="W18:W29" si="40">IF(AND(14&gt;=$H18,14&lt;=$I18),$G18,0)</f>
        <v>0</v>
      </c>
      <c r="X18" s="7">
        <f t="shared" ref="X18:X29" si="41">IF(AND(15&gt;=$H18,15&lt;=$I18),$G18,0)</f>
        <v>0</v>
      </c>
      <c r="Y18" s="7">
        <f t="shared" ref="Y18:Y29" si="42">IF(AND(16&gt;=$H18,16&lt;=$I18),$G18,0)</f>
        <v>0</v>
      </c>
      <c r="Z18" s="7">
        <f t="shared" ref="Z18:Z29" si="43">IF(AND(17&gt;=$H18,17&lt;=$I18),$G18,0)</f>
        <v>0</v>
      </c>
      <c r="AA18" s="7">
        <f t="shared" ref="AA18:AA29" si="44">IF(AND(18&gt;=$H18,18&lt;=$I18),$G18,0)</f>
        <v>0</v>
      </c>
      <c r="AB18" s="7">
        <f t="shared" ref="AB18:AB29" si="45">IF(AND(19&gt;=$H18,19&lt;=$I18),$G18,0)</f>
        <v>0</v>
      </c>
      <c r="AC18" s="7">
        <f t="shared" ref="AC18:AC29" si="46">IF(AND(20&gt;=$H18,20&lt;=$I18),$G18,0)</f>
        <v>0</v>
      </c>
      <c r="AD18" s="7">
        <f t="shared" ref="AD18:AD29" si="47">IF(AND(21&gt;=$H18,21&lt;=$I18),$G18,0)</f>
        <v>0</v>
      </c>
      <c r="AE18" s="7">
        <f t="shared" ref="AE18:AE29" si="48">IF(AND(22&gt;=$H18,22&lt;=$I18),$G18,0)</f>
        <v>0</v>
      </c>
      <c r="AF18" s="7">
        <f t="shared" ref="AF18:AF29" si="49">IF(AND(23&gt;=$H18,23&lt;=$I18),$G18,0)</f>
        <v>0</v>
      </c>
      <c r="AG18" s="7">
        <f t="shared" ref="AG18:AG29" si="50">IF(AND(24&gt;=$H18,24&lt;=$I18),$G18,0)</f>
        <v>0</v>
      </c>
      <c r="AH18" s="10">
        <f t="shared" si="25"/>
        <v>825</v>
      </c>
    </row>
    <row r="19" spans="1:39" x14ac:dyDescent="0.35">
      <c r="A19" s="51" t="str">
        <f>'Rendimientos y Cuadrillas'!A17</f>
        <v>2.06</v>
      </c>
      <c r="B19" t="str">
        <f>'Rendimientos y Cuadrillas'!B17</f>
        <v>Terraplenes con material de cantera</v>
      </c>
      <c r="C19" s="7">
        <f>VALUE('Rendimientos y Cuadrillas'!D17)</f>
        <v>350</v>
      </c>
      <c r="D19" s="7" t="str">
        <f>'Rendimientos y Cuadrillas'!C17</f>
        <v>M3/día</v>
      </c>
      <c r="E19" s="7">
        <f>SUM('Rendimientos y Cuadrillas'!E17:H17)</f>
        <v>5.5</v>
      </c>
      <c r="F19" s="7">
        <f>'Rendimientos y Cuadrillas'!J17</f>
        <v>1</v>
      </c>
      <c r="G19" s="7">
        <f t="shared" si="26"/>
        <v>0.6875</v>
      </c>
      <c r="H19" s="11">
        <v>7</v>
      </c>
      <c r="I19" s="11">
        <v>11</v>
      </c>
      <c r="J19" s="7">
        <f t="shared" si="27"/>
        <v>0</v>
      </c>
      <c r="K19" s="7">
        <f t="shared" si="28"/>
        <v>0</v>
      </c>
      <c r="L19" s="7">
        <f t="shared" si="29"/>
        <v>0</v>
      </c>
      <c r="M19" s="7">
        <f t="shared" si="30"/>
        <v>0</v>
      </c>
      <c r="N19" s="7">
        <f t="shared" si="31"/>
        <v>0</v>
      </c>
      <c r="O19" s="7">
        <f t="shared" si="32"/>
        <v>0</v>
      </c>
      <c r="P19" s="7">
        <f t="shared" si="33"/>
        <v>0.6875</v>
      </c>
      <c r="Q19" s="7">
        <f t="shared" si="34"/>
        <v>0.6875</v>
      </c>
      <c r="R19" s="7">
        <f t="shared" si="35"/>
        <v>0.6875</v>
      </c>
      <c r="S19" s="7">
        <f t="shared" si="36"/>
        <v>0.6875</v>
      </c>
      <c r="T19" s="7">
        <f t="shared" si="37"/>
        <v>0.6875</v>
      </c>
      <c r="U19" s="7">
        <f t="shared" si="38"/>
        <v>0</v>
      </c>
      <c r="V19" s="7">
        <f t="shared" si="39"/>
        <v>0</v>
      </c>
      <c r="W19" s="7">
        <f t="shared" si="40"/>
        <v>0</v>
      </c>
      <c r="X19" s="7">
        <f t="shared" si="41"/>
        <v>0</v>
      </c>
      <c r="Y19" s="7">
        <f t="shared" si="42"/>
        <v>0</v>
      </c>
      <c r="Z19" s="7">
        <f t="shared" si="43"/>
        <v>0</v>
      </c>
      <c r="AA19" s="7">
        <f t="shared" si="44"/>
        <v>0</v>
      </c>
      <c r="AB19" s="7">
        <f t="shared" si="45"/>
        <v>0</v>
      </c>
      <c r="AC19" s="7">
        <f t="shared" si="46"/>
        <v>0</v>
      </c>
      <c r="AD19" s="7">
        <f t="shared" si="47"/>
        <v>0</v>
      </c>
      <c r="AE19" s="7">
        <f t="shared" si="48"/>
        <v>0</v>
      </c>
      <c r="AF19" s="7">
        <f t="shared" si="49"/>
        <v>0</v>
      </c>
      <c r="AG19" s="7">
        <f t="shared" si="50"/>
        <v>0</v>
      </c>
      <c r="AH19" s="10">
        <f t="shared" si="25"/>
        <v>825</v>
      </c>
    </row>
    <row r="20" spans="1:39" x14ac:dyDescent="0.35">
      <c r="A20" s="51" t="str">
        <f>'Rendimientos y Cuadrillas'!A18</f>
        <v>2.07</v>
      </c>
      <c r="B20" t="str">
        <f>'Rendimientos y Cuadrillas'!B18</f>
        <v>Mejoramiento a nivel de subrasante</v>
      </c>
      <c r="C20" s="7">
        <f>VALUE('Rendimientos y Cuadrillas'!D18)</f>
        <v>2100</v>
      </c>
      <c r="D20" s="7" t="str">
        <f>'Rendimientos y Cuadrillas'!C18</f>
        <v>M2/día</v>
      </c>
      <c r="E20" s="7">
        <f>SUM('Rendimientos y Cuadrillas'!E18:H18)</f>
        <v>5.5</v>
      </c>
      <c r="F20" s="7">
        <f>'Rendimientos y Cuadrillas'!J18</f>
        <v>1</v>
      </c>
      <c r="G20" s="7">
        <f t="shared" si="26"/>
        <v>0.6875</v>
      </c>
      <c r="H20" s="11">
        <v>9</v>
      </c>
      <c r="I20" s="11">
        <v>12</v>
      </c>
      <c r="J20" s="7">
        <f t="shared" si="27"/>
        <v>0</v>
      </c>
      <c r="K20" s="7">
        <f t="shared" si="28"/>
        <v>0</v>
      </c>
      <c r="L20" s="7">
        <f t="shared" si="29"/>
        <v>0</v>
      </c>
      <c r="M20" s="7">
        <f t="shared" si="30"/>
        <v>0</v>
      </c>
      <c r="N20" s="7">
        <f t="shared" si="31"/>
        <v>0</v>
      </c>
      <c r="O20" s="7">
        <f t="shared" si="32"/>
        <v>0</v>
      </c>
      <c r="P20" s="7">
        <f t="shared" si="33"/>
        <v>0</v>
      </c>
      <c r="Q20" s="7">
        <f t="shared" si="34"/>
        <v>0</v>
      </c>
      <c r="R20" s="7">
        <f t="shared" si="35"/>
        <v>0.6875</v>
      </c>
      <c r="S20" s="7">
        <f t="shared" si="36"/>
        <v>0.6875</v>
      </c>
      <c r="T20" s="7">
        <f t="shared" si="37"/>
        <v>0.6875</v>
      </c>
      <c r="U20" s="7">
        <f t="shared" si="38"/>
        <v>0.6875</v>
      </c>
      <c r="V20" s="7">
        <f t="shared" si="39"/>
        <v>0</v>
      </c>
      <c r="W20" s="7">
        <f t="shared" si="40"/>
        <v>0</v>
      </c>
      <c r="X20" s="7">
        <f t="shared" si="41"/>
        <v>0</v>
      </c>
      <c r="Y20" s="7">
        <f t="shared" si="42"/>
        <v>0</v>
      </c>
      <c r="Z20" s="7">
        <f t="shared" si="43"/>
        <v>0</v>
      </c>
      <c r="AA20" s="7">
        <f t="shared" si="44"/>
        <v>0</v>
      </c>
      <c r="AB20" s="7">
        <f t="shared" si="45"/>
        <v>0</v>
      </c>
      <c r="AC20" s="7">
        <f t="shared" si="46"/>
        <v>0</v>
      </c>
      <c r="AD20" s="7">
        <f t="shared" si="47"/>
        <v>0</v>
      </c>
      <c r="AE20" s="7">
        <f t="shared" si="48"/>
        <v>0</v>
      </c>
      <c r="AF20" s="7">
        <f t="shared" si="49"/>
        <v>0</v>
      </c>
      <c r="AG20" s="7">
        <f t="shared" si="50"/>
        <v>0</v>
      </c>
      <c r="AH20" s="10">
        <f t="shared" si="25"/>
        <v>660</v>
      </c>
    </row>
    <row r="21" spans="1:39" x14ac:dyDescent="0.35">
      <c r="A21" s="51" t="str">
        <f>'Rendimientos y Cuadrillas'!A19</f>
        <v>2.08</v>
      </c>
      <c r="B21" t="str">
        <f>'Rendimientos y Cuadrillas'!B19</f>
        <v>Conformación y acomodo de DME</v>
      </c>
      <c r="C21" s="7">
        <f>VALUE('Rendimientos y Cuadrillas'!D19)</f>
        <v>550</v>
      </c>
      <c r="D21" s="7" t="str">
        <f>'Rendimientos y Cuadrillas'!C19</f>
        <v>M3/día</v>
      </c>
      <c r="E21" s="7">
        <f>SUM('Rendimientos y Cuadrillas'!E19:H19)</f>
        <v>2.2000000000000002</v>
      </c>
      <c r="F21" s="7">
        <f>'Rendimientos y Cuadrillas'!J19</f>
        <v>1</v>
      </c>
      <c r="G21" s="7">
        <f t="shared" si="26"/>
        <v>0.27500000000000002</v>
      </c>
      <c r="H21" s="11">
        <v>4</v>
      </c>
      <c r="I21" s="11">
        <v>10</v>
      </c>
      <c r="J21" s="7">
        <f t="shared" si="27"/>
        <v>0</v>
      </c>
      <c r="K21" s="7">
        <f t="shared" si="28"/>
        <v>0</v>
      </c>
      <c r="L21" s="7">
        <f t="shared" si="29"/>
        <v>0</v>
      </c>
      <c r="M21" s="7">
        <f t="shared" si="30"/>
        <v>0.27500000000000002</v>
      </c>
      <c r="N21" s="7">
        <f t="shared" si="31"/>
        <v>0.27500000000000002</v>
      </c>
      <c r="O21" s="7">
        <f t="shared" si="32"/>
        <v>0.27500000000000002</v>
      </c>
      <c r="P21" s="7">
        <f t="shared" si="33"/>
        <v>0.27500000000000002</v>
      </c>
      <c r="Q21" s="7">
        <f t="shared" si="34"/>
        <v>0.27500000000000002</v>
      </c>
      <c r="R21" s="7">
        <f t="shared" si="35"/>
        <v>0.27500000000000002</v>
      </c>
      <c r="S21" s="7">
        <f t="shared" si="36"/>
        <v>0.27500000000000002</v>
      </c>
      <c r="T21" s="7">
        <f t="shared" si="37"/>
        <v>0</v>
      </c>
      <c r="U21" s="7">
        <f t="shared" si="38"/>
        <v>0</v>
      </c>
      <c r="V21" s="7">
        <f t="shared" si="39"/>
        <v>0</v>
      </c>
      <c r="W21" s="7">
        <f t="shared" si="40"/>
        <v>0</v>
      </c>
      <c r="X21" s="7">
        <f t="shared" si="41"/>
        <v>0</v>
      </c>
      <c r="Y21" s="7">
        <f t="shared" si="42"/>
        <v>0</v>
      </c>
      <c r="Z21" s="7">
        <f t="shared" si="43"/>
        <v>0</v>
      </c>
      <c r="AA21" s="7">
        <f t="shared" si="44"/>
        <v>0</v>
      </c>
      <c r="AB21" s="7">
        <f t="shared" si="45"/>
        <v>0</v>
      </c>
      <c r="AC21" s="7">
        <f t="shared" si="46"/>
        <v>0</v>
      </c>
      <c r="AD21" s="7">
        <f t="shared" si="47"/>
        <v>0</v>
      </c>
      <c r="AE21" s="7">
        <f t="shared" si="48"/>
        <v>0</v>
      </c>
      <c r="AF21" s="7">
        <f t="shared" si="49"/>
        <v>0</v>
      </c>
      <c r="AG21" s="7">
        <f t="shared" si="50"/>
        <v>0</v>
      </c>
      <c r="AH21" s="10">
        <f t="shared" si="25"/>
        <v>461.99999999999994</v>
      </c>
    </row>
    <row r="22" spans="1:39" x14ac:dyDescent="0.35">
      <c r="A22" s="51" t="str">
        <f>'Rendimientos y Cuadrillas'!A20</f>
        <v>2.09</v>
      </c>
      <c r="B22" t="str">
        <f>'Rendimientos y Cuadrillas'!B20</f>
        <v>Perfilado y compactado en zonas de corte</v>
      </c>
      <c r="C22" s="7">
        <f>VALUE('Rendimientos y Cuadrillas'!D20)</f>
        <v>1850</v>
      </c>
      <c r="D22" s="7" t="str">
        <f>'Rendimientos y Cuadrillas'!C20</f>
        <v>M2/día</v>
      </c>
      <c r="E22" s="7">
        <f>SUM('Rendimientos y Cuadrillas'!E20:H20)</f>
        <v>5.5</v>
      </c>
      <c r="F22" s="7">
        <f>'Rendimientos y Cuadrillas'!J20</f>
        <v>1</v>
      </c>
      <c r="G22" s="7">
        <f t="shared" si="26"/>
        <v>0.6875</v>
      </c>
      <c r="H22" s="11">
        <v>10</v>
      </c>
      <c r="I22" s="11">
        <v>13</v>
      </c>
      <c r="J22" s="7">
        <f t="shared" si="27"/>
        <v>0</v>
      </c>
      <c r="K22" s="7">
        <f t="shared" si="28"/>
        <v>0</v>
      </c>
      <c r="L22" s="7">
        <f t="shared" si="29"/>
        <v>0</v>
      </c>
      <c r="M22" s="7">
        <f t="shared" si="30"/>
        <v>0</v>
      </c>
      <c r="N22" s="7">
        <f t="shared" si="31"/>
        <v>0</v>
      </c>
      <c r="O22" s="7">
        <f t="shared" si="32"/>
        <v>0</v>
      </c>
      <c r="P22" s="7">
        <f t="shared" si="33"/>
        <v>0</v>
      </c>
      <c r="Q22" s="7">
        <f t="shared" si="34"/>
        <v>0</v>
      </c>
      <c r="R22" s="7">
        <f t="shared" si="35"/>
        <v>0</v>
      </c>
      <c r="S22" s="7">
        <f t="shared" si="36"/>
        <v>0.6875</v>
      </c>
      <c r="T22" s="7">
        <f t="shared" si="37"/>
        <v>0.6875</v>
      </c>
      <c r="U22" s="7">
        <f t="shared" si="38"/>
        <v>0.6875</v>
      </c>
      <c r="V22" s="7">
        <f t="shared" si="39"/>
        <v>0.6875</v>
      </c>
      <c r="W22" s="7">
        <f t="shared" si="40"/>
        <v>0</v>
      </c>
      <c r="X22" s="7">
        <f t="shared" si="41"/>
        <v>0</v>
      </c>
      <c r="Y22" s="7">
        <f t="shared" si="42"/>
        <v>0</v>
      </c>
      <c r="Z22" s="7">
        <f t="shared" si="43"/>
        <v>0</v>
      </c>
      <c r="AA22" s="7">
        <f t="shared" si="44"/>
        <v>0</v>
      </c>
      <c r="AB22" s="7">
        <f t="shared" si="45"/>
        <v>0</v>
      </c>
      <c r="AC22" s="7">
        <f t="shared" si="46"/>
        <v>0</v>
      </c>
      <c r="AD22" s="7">
        <f t="shared" si="47"/>
        <v>0</v>
      </c>
      <c r="AE22" s="7">
        <f t="shared" si="48"/>
        <v>0</v>
      </c>
      <c r="AF22" s="7">
        <f t="shared" si="49"/>
        <v>0</v>
      </c>
      <c r="AG22" s="7">
        <f t="shared" si="50"/>
        <v>0</v>
      </c>
      <c r="AH22" s="10">
        <f t="shared" si="25"/>
        <v>660</v>
      </c>
    </row>
    <row r="23" spans="1:39" x14ac:dyDescent="0.35">
      <c r="A23" s="51" t="str">
        <f>'Rendimientos y Cuadrillas'!A22</f>
        <v>3.01</v>
      </c>
      <c r="B23" t="str">
        <f>'Rendimientos y Cuadrillas'!B22</f>
        <v>Subbase Granular (e=0.20 m)</v>
      </c>
      <c r="C23" s="7">
        <f>VALUE('Rendimientos y Cuadrillas'!D22)</f>
        <v>550</v>
      </c>
      <c r="D23" s="7" t="str">
        <f>'Rendimientos y Cuadrillas'!C22</f>
        <v>M3/día</v>
      </c>
      <c r="E23" s="7">
        <f>SUM('Rendimientos y Cuadrillas'!E22:H22)</f>
        <v>7</v>
      </c>
      <c r="F23" s="7">
        <f>'Rendimientos y Cuadrillas'!J22</f>
        <v>1</v>
      </c>
      <c r="G23" s="7">
        <f t="shared" si="26"/>
        <v>0.875</v>
      </c>
      <c r="H23" s="11">
        <v>12</v>
      </c>
      <c r="I23" s="11">
        <v>15</v>
      </c>
      <c r="J23" s="7">
        <f t="shared" si="27"/>
        <v>0</v>
      </c>
      <c r="K23" s="7">
        <f t="shared" si="28"/>
        <v>0</v>
      </c>
      <c r="L23" s="7">
        <f t="shared" si="29"/>
        <v>0</v>
      </c>
      <c r="M23" s="7">
        <f t="shared" si="30"/>
        <v>0</v>
      </c>
      <c r="N23" s="7">
        <f t="shared" si="31"/>
        <v>0</v>
      </c>
      <c r="O23" s="7">
        <f t="shared" si="32"/>
        <v>0</v>
      </c>
      <c r="P23" s="7">
        <f t="shared" si="33"/>
        <v>0</v>
      </c>
      <c r="Q23" s="7">
        <f t="shared" si="34"/>
        <v>0</v>
      </c>
      <c r="R23" s="7">
        <f t="shared" si="35"/>
        <v>0</v>
      </c>
      <c r="S23" s="7">
        <f t="shared" si="36"/>
        <v>0</v>
      </c>
      <c r="T23" s="7">
        <f t="shared" si="37"/>
        <v>0</v>
      </c>
      <c r="U23" s="7">
        <f t="shared" si="38"/>
        <v>0.875</v>
      </c>
      <c r="V23" s="7">
        <f t="shared" si="39"/>
        <v>0.875</v>
      </c>
      <c r="W23" s="7">
        <f t="shared" si="40"/>
        <v>0.875</v>
      </c>
      <c r="X23" s="7">
        <f t="shared" si="41"/>
        <v>0.875</v>
      </c>
      <c r="Y23" s="7">
        <f t="shared" si="42"/>
        <v>0</v>
      </c>
      <c r="Z23" s="7">
        <f t="shared" si="43"/>
        <v>0</v>
      </c>
      <c r="AA23" s="7">
        <f t="shared" si="44"/>
        <v>0</v>
      </c>
      <c r="AB23" s="7">
        <f t="shared" si="45"/>
        <v>0</v>
      </c>
      <c r="AC23" s="7">
        <f t="shared" si="46"/>
        <v>0</v>
      </c>
      <c r="AD23" s="7">
        <f t="shared" si="47"/>
        <v>0</v>
      </c>
      <c r="AE23" s="7">
        <f t="shared" si="48"/>
        <v>0</v>
      </c>
      <c r="AF23" s="7">
        <f t="shared" si="49"/>
        <v>0</v>
      </c>
      <c r="AG23" s="7">
        <f t="shared" si="50"/>
        <v>0</v>
      </c>
      <c r="AH23" s="10">
        <f t="shared" si="25"/>
        <v>840</v>
      </c>
    </row>
    <row r="24" spans="1:39" x14ac:dyDescent="0.35">
      <c r="A24" s="51" t="str">
        <f>'Rendimientos y Cuadrillas'!A23</f>
        <v>3.02</v>
      </c>
      <c r="B24" t="str">
        <f>'Rendimientos y Cuadrillas'!B23</f>
        <v>Base Granular (e=0.20 m)</v>
      </c>
      <c r="C24" s="7">
        <f>VALUE('Rendimientos y Cuadrillas'!D23)</f>
        <v>600</v>
      </c>
      <c r="D24" s="7" t="str">
        <f>'Rendimientos y Cuadrillas'!C23</f>
        <v>M3/día</v>
      </c>
      <c r="E24" s="7">
        <f>SUM('Rendimientos y Cuadrillas'!E23:H23)</f>
        <v>7</v>
      </c>
      <c r="F24" s="7">
        <f>'Rendimientos y Cuadrillas'!J23</f>
        <v>1</v>
      </c>
      <c r="G24" s="7">
        <f t="shared" si="26"/>
        <v>0.875</v>
      </c>
      <c r="H24" s="11">
        <v>14</v>
      </c>
      <c r="I24" s="11">
        <v>17</v>
      </c>
      <c r="J24" s="7">
        <f t="shared" si="27"/>
        <v>0</v>
      </c>
      <c r="K24" s="7">
        <f t="shared" si="28"/>
        <v>0</v>
      </c>
      <c r="L24" s="7">
        <f t="shared" si="29"/>
        <v>0</v>
      </c>
      <c r="M24" s="7">
        <f t="shared" si="30"/>
        <v>0</v>
      </c>
      <c r="N24" s="7">
        <f t="shared" si="31"/>
        <v>0</v>
      </c>
      <c r="O24" s="7">
        <f t="shared" si="32"/>
        <v>0</v>
      </c>
      <c r="P24" s="7">
        <f t="shared" si="33"/>
        <v>0</v>
      </c>
      <c r="Q24" s="7">
        <f t="shared" si="34"/>
        <v>0</v>
      </c>
      <c r="R24" s="7">
        <f t="shared" si="35"/>
        <v>0</v>
      </c>
      <c r="S24" s="7">
        <f t="shared" si="36"/>
        <v>0</v>
      </c>
      <c r="T24" s="7">
        <f t="shared" si="37"/>
        <v>0</v>
      </c>
      <c r="U24" s="7">
        <f t="shared" si="38"/>
        <v>0</v>
      </c>
      <c r="V24" s="7">
        <f t="shared" si="39"/>
        <v>0</v>
      </c>
      <c r="W24" s="7">
        <f t="shared" si="40"/>
        <v>0.875</v>
      </c>
      <c r="X24" s="7">
        <f t="shared" si="41"/>
        <v>0.875</v>
      </c>
      <c r="Y24" s="7">
        <f t="shared" si="42"/>
        <v>0.875</v>
      </c>
      <c r="Z24" s="7">
        <f t="shared" si="43"/>
        <v>0.875</v>
      </c>
      <c r="AA24" s="7">
        <f t="shared" si="44"/>
        <v>0</v>
      </c>
      <c r="AB24" s="7">
        <f t="shared" si="45"/>
        <v>0</v>
      </c>
      <c r="AC24" s="7">
        <f t="shared" si="46"/>
        <v>0</v>
      </c>
      <c r="AD24" s="7">
        <f t="shared" si="47"/>
        <v>0</v>
      </c>
      <c r="AE24" s="7">
        <f t="shared" si="48"/>
        <v>0</v>
      </c>
      <c r="AF24" s="7">
        <f t="shared" si="49"/>
        <v>0</v>
      </c>
      <c r="AG24" s="7">
        <f t="shared" si="50"/>
        <v>0</v>
      </c>
      <c r="AH24" s="10">
        <f t="shared" si="25"/>
        <v>840</v>
      </c>
    </row>
    <row r="25" spans="1:39" x14ac:dyDescent="0.35">
      <c r="A25" s="51" t="str">
        <f>'Rendimientos y Cuadrillas'!A24</f>
        <v>3.03</v>
      </c>
      <c r="B25" t="str">
        <f>'Rendimientos y Cuadrillas'!B24</f>
        <v>Instalación de planta de asfalto y chancadora</v>
      </c>
      <c r="C25" s="7">
        <f>VALUE('Rendimientos y Cuadrillas'!D24)</f>
        <v>1</v>
      </c>
      <c r="D25" s="7" t="str">
        <f>'Rendimientos y Cuadrillas'!C24</f>
        <v>GLB</v>
      </c>
      <c r="E25" s="7">
        <f>SUM('Rendimientos y Cuadrillas'!E24:H24)</f>
        <v>15</v>
      </c>
      <c r="F25" s="7">
        <f>'Rendimientos y Cuadrillas'!J24</f>
        <v>1</v>
      </c>
      <c r="G25" s="7">
        <f t="shared" si="26"/>
        <v>1.875</v>
      </c>
      <c r="H25" s="11">
        <v>13</v>
      </c>
      <c r="I25" s="11">
        <v>14</v>
      </c>
      <c r="J25" s="7">
        <f t="shared" si="27"/>
        <v>0</v>
      </c>
      <c r="K25" s="7">
        <f t="shared" si="28"/>
        <v>0</v>
      </c>
      <c r="L25" s="7">
        <f t="shared" si="29"/>
        <v>0</v>
      </c>
      <c r="M25" s="7">
        <f t="shared" si="30"/>
        <v>0</v>
      </c>
      <c r="N25" s="7">
        <f t="shared" si="31"/>
        <v>0</v>
      </c>
      <c r="O25" s="7">
        <f t="shared" si="32"/>
        <v>0</v>
      </c>
      <c r="P25" s="7">
        <f t="shared" si="33"/>
        <v>0</v>
      </c>
      <c r="Q25" s="7">
        <f t="shared" si="34"/>
        <v>0</v>
      </c>
      <c r="R25" s="7">
        <f t="shared" si="35"/>
        <v>0</v>
      </c>
      <c r="S25" s="7">
        <f t="shared" si="36"/>
        <v>0</v>
      </c>
      <c r="T25" s="7">
        <f t="shared" si="37"/>
        <v>0</v>
      </c>
      <c r="U25" s="7">
        <f t="shared" si="38"/>
        <v>0</v>
      </c>
      <c r="V25" s="7">
        <f t="shared" si="39"/>
        <v>1.875</v>
      </c>
      <c r="W25" s="7">
        <f t="shared" si="40"/>
        <v>1.875</v>
      </c>
      <c r="X25" s="7">
        <f t="shared" si="41"/>
        <v>0</v>
      </c>
      <c r="Y25" s="7">
        <f t="shared" si="42"/>
        <v>0</v>
      </c>
      <c r="Z25" s="7">
        <f t="shared" si="43"/>
        <v>0</v>
      </c>
      <c r="AA25" s="7">
        <f t="shared" si="44"/>
        <v>0</v>
      </c>
      <c r="AB25" s="7">
        <f t="shared" si="45"/>
        <v>0</v>
      </c>
      <c r="AC25" s="7">
        <f t="shared" si="46"/>
        <v>0</v>
      </c>
      <c r="AD25" s="7">
        <f t="shared" si="47"/>
        <v>0</v>
      </c>
      <c r="AE25" s="7">
        <f t="shared" si="48"/>
        <v>0</v>
      </c>
      <c r="AF25" s="7">
        <f t="shared" si="49"/>
        <v>0</v>
      </c>
      <c r="AG25" s="7">
        <f t="shared" si="50"/>
        <v>0</v>
      </c>
      <c r="AH25" s="10">
        <f t="shared" si="25"/>
        <v>900</v>
      </c>
    </row>
    <row r="26" spans="1:39" x14ac:dyDescent="0.35">
      <c r="A26" s="51" t="str">
        <f>'Rendimientos y Cuadrillas'!A26</f>
        <v>4.01</v>
      </c>
      <c r="B26" t="str">
        <f>'Rendimientos y Cuadrillas'!B26</f>
        <v>Imprimación Asfáltica</v>
      </c>
      <c r="C26" s="7">
        <f>VALUE('Rendimientos y Cuadrillas'!D26)</f>
        <v>7500</v>
      </c>
      <c r="D26" s="7" t="str">
        <f>'Rendimientos y Cuadrillas'!C26</f>
        <v>M2/día</v>
      </c>
      <c r="E26" s="7">
        <f>SUM('Rendimientos y Cuadrillas'!E26:H26)</f>
        <v>5.5</v>
      </c>
      <c r="F26" s="7">
        <f>'Rendimientos y Cuadrillas'!J26</f>
        <v>1</v>
      </c>
      <c r="G26" s="7">
        <f t="shared" si="26"/>
        <v>0.6875</v>
      </c>
      <c r="H26" s="11">
        <v>17</v>
      </c>
      <c r="I26" s="11">
        <v>19</v>
      </c>
      <c r="J26" s="7">
        <f t="shared" si="27"/>
        <v>0</v>
      </c>
      <c r="K26" s="7">
        <f t="shared" si="28"/>
        <v>0</v>
      </c>
      <c r="L26" s="7">
        <f t="shared" si="29"/>
        <v>0</v>
      </c>
      <c r="M26" s="7">
        <f t="shared" si="30"/>
        <v>0</v>
      </c>
      <c r="N26" s="7">
        <f t="shared" si="31"/>
        <v>0</v>
      </c>
      <c r="O26" s="7">
        <f t="shared" si="32"/>
        <v>0</v>
      </c>
      <c r="P26" s="7">
        <f t="shared" si="33"/>
        <v>0</v>
      </c>
      <c r="Q26" s="7">
        <f t="shared" si="34"/>
        <v>0</v>
      </c>
      <c r="R26" s="7">
        <f t="shared" si="35"/>
        <v>0</v>
      </c>
      <c r="S26" s="7">
        <f t="shared" si="36"/>
        <v>0</v>
      </c>
      <c r="T26" s="7">
        <f t="shared" si="37"/>
        <v>0</v>
      </c>
      <c r="U26" s="7">
        <f t="shared" si="38"/>
        <v>0</v>
      </c>
      <c r="V26" s="7">
        <f t="shared" si="39"/>
        <v>0</v>
      </c>
      <c r="W26" s="7">
        <f t="shared" si="40"/>
        <v>0</v>
      </c>
      <c r="X26" s="7">
        <f t="shared" si="41"/>
        <v>0</v>
      </c>
      <c r="Y26" s="7">
        <f t="shared" si="42"/>
        <v>0</v>
      </c>
      <c r="Z26" s="7">
        <f t="shared" si="43"/>
        <v>0.6875</v>
      </c>
      <c r="AA26" s="7">
        <f t="shared" si="44"/>
        <v>0.6875</v>
      </c>
      <c r="AB26" s="7">
        <f t="shared" si="45"/>
        <v>0.6875</v>
      </c>
      <c r="AC26" s="7">
        <f t="shared" si="46"/>
        <v>0</v>
      </c>
      <c r="AD26" s="7">
        <f t="shared" si="47"/>
        <v>0</v>
      </c>
      <c r="AE26" s="7">
        <f t="shared" si="48"/>
        <v>0</v>
      </c>
      <c r="AF26" s="7">
        <f t="shared" si="49"/>
        <v>0</v>
      </c>
      <c r="AG26" s="7">
        <f t="shared" si="50"/>
        <v>0</v>
      </c>
      <c r="AH26" s="10">
        <f t="shared" si="25"/>
        <v>495</v>
      </c>
    </row>
    <row r="27" spans="1:39" x14ac:dyDescent="0.35">
      <c r="A27" s="51" t="str">
        <f>'Rendimientos y Cuadrillas'!A27</f>
        <v>4.02</v>
      </c>
      <c r="B27" t="str">
        <f>'Rendimientos y Cuadrillas'!B27</f>
        <v>Riego de Liga</v>
      </c>
      <c r="C27" s="7">
        <f>VALUE('Rendimientos y Cuadrillas'!D27)</f>
        <v>10000</v>
      </c>
      <c r="D27" s="7" t="str">
        <f>'Rendimientos y Cuadrillas'!C27</f>
        <v>M2/día</v>
      </c>
      <c r="E27" s="7">
        <f>SUM('Rendimientos y Cuadrillas'!E27:H27)</f>
        <v>4.5</v>
      </c>
      <c r="F27" s="7">
        <f>'Rendimientos y Cuadrillas'!J27</f>
        <v>1</v>
      </c>
      <c r="G27" s="7">
        <f t="shared" si="26"/>
        <v>0.5625</v>
      </c>
      <c r="H27" s="11">
        <v>18</v>
      </c>
      <c r="I27" s="11">
        <v>21</v>
      </c>
      <c r="J27" s="7">
        <f t="shared" si="27"/>
        <v>0</v>
      </c>
      <c r="K27" s="7">
        <f t="shared" si="28"/>
        <v>0</v>
      </c>
      <c r="L27" s="7">
        <f t="shared" si="29"/>
        <v>0</v>
      </c>
      <c r="M27" s="7">
        <f t="shared" si="30"/>
        <v>0</v>
      </c>
      <c r="N27" s="7">
        <f t="shared" si="31"/>
        <v>0</v>
      </c>
      <c r="O27" s="7">
        <f t="shared" si="32"/>
        <v>0</v>
      </c>
      <c r="P27" s="7">
        <f t="shared" si="33"/>
        <v>0</v>
      </c>
      <c r="Q27" s="7">
        <f t="shared" si="34"/>
        <v>0</v>
      </c>
      <c r="R27" s="7">
        <f t="shared" si="35"/>
        <v>0</v>
      </c>
      <c r="S27" s="7">
        <f t="shared" si="36"/>
        <v>0</v>
      </c>
      <c r="T27" s="7">
        <f t="shared" si="37"/>
        <v>0</v>
      </c>
      <c r="U27" s="7">
        <f t="shared" si="38"/>
        <v>0</v>
      </c>
      <c r="V27" s="7">
        <f t="shared" si="39"/>
        <v>0</v>
      </c>
      <c r="W27" s="7">
        <f t="shared" si="40"/>
        <v>0</v>
      </c>
      <c r="X27" s="7">
        <f t="shared" si="41"/>
        <v>0</v>
      </c>
      <c r="Y27" s="7">
        <f t="shared" si="42"/>
        <v>0</v>
      </c>
      <c r="Z27" s="7">
        <f t="shared" si="43"/>
        <v>0</v>
      </c>
      <c r="AA27" s="7">
        <f t="shared" si="44"/>
        <v>0.5625</v>
      </c>
      <c r="AB27" s="7">
        <f t="shared" si="45"/>
        <v>0.5625</v>
      </c>
      <c r="AC27" s="7">
        <f t="shared" si="46"/>
        <v>0.5625</v>
      </c>
      <c r="AD27" s="7">
        <f t="shared" si="47"/>
        <v>0.5625</v>
      </c>
      <c r="AE27" s="7">
        <f t="shared" si="48"/>
        <v>0</v>
      </c>
      <c r="AF27" s="7">
        <f t="shared" si="49"/>
        <v>0</v>
      </c>
      <c r="AG27" s="7">
        <f t="shared" si="50"/>
        <v>0</v>
      </c>
      <c r="AH27" s="10">
        <f t="shared" si="25"/>
        <v>540</v>
      </c>
    </row>
    <row r="28" spans="1:39" x14ac:dyDescent="0.35">
      <c r="A28" s="51" t="str">
        <f>'Rendimientos y Cuadrillas'!A28</f>
        <v>4.03</v>
      </c>
      <c r="B28" t="str">
        <f>'Rendimientos y Cuadrillas'!B28</f>
        <v>Pavimento de concreto asfáltico en caliente</v>
      </c>
      <c r="C28" s="7">
        <f>VALUE('Rendimientos y Cuadrillas'!D28)</f>
        <v>2000</v>
      </c>
      <c r="D28" s="7" t="str">
        <f>'Rendimientos y Cuadrillas'!C28</f>
        <v>M2/día</v>
      </c>
      <c r="E28" s="7">
        <f>SUM('Rendimientos y Cuadrillas'!E28:H28)</f>
        <v>12</v>
      </c>
      <c r="F28" s="7">
        <f>'Rendimientos y Cuadrillas'!J28</f>
        <v>1</v>
      </c>
      <c r="G28" s="7">
        <f t="shared" si="26"/>
        <v>1.5</v>
      </c>
      <c r="H28" s="11">
        <v>19</v>
      </c>
      <c r="I28" s="11">
        <v>23</v>
      </c>
      <c r="J28" s="7">
        <f t="shared" si="27"/>
        <v>0</v>
      </c>
      <c r="K28" s="7">
        <f t="shared" si="28"/>
        <v>0</v>
      </c>
      <c r="L28" s="7">
        <f t="shared" si="29"/>
        <v>0</v>
      </c>
      <c r="M28" s="7">
        <f t="shared" si="30"/>
        <v>0</v>
      </c>
      <c r="N28" s="7">
        <f t="shared" si="31"/>
        <v>0</v>
      </c>
      <c r="O28" s="7">
        <f t="shared" si="32"/>
        <v>0</v>
      </c>
      <c r="P28" s="7">
        <f t="shared" si="33"/>
        <v>0</v>
      </c>
      <c r="Q28" s="7">
        <f t="shared" si="34"/>
        <v>0</v>
      </c>
      <c r="R28" s="7">
        <f t="shared" si="35"/>
        <v>0</v>
      </c>
      <c r="S28" s="7">
        <f t="shared" si="36"/>
        <v>0</v>
      </c>
      <c r="T28" s="7">
        <f t="shared" si="37"/>
        <v>0</v>
      </c>
      <c r="U28" s="7">
        <f t="shared" si="38"/>
        <v>0</v>
      </c>
      <c r="V28" s="7">
        <f t="shared" si="39"/>
        <v>0</v>
      </c>
      <c r="W28" s="7">
        <f t="shared" si="40"/>
        <v>0</v>
      </c>
      <c r="X28" s="7">
        <f t="shared" si="41"/>
        <v>0</v>
      </c>
      <c r="Y28" s="7">
        <f t="shared" si="42"/>
        <v>0</v>
      </c>
      <c r="Z28" s="7">
        <f t="shared" si="43"/>
        <v>0</v>
      </c>
      <c r="AA28" s="7">
        <f t="shared" si="44"/>
        <v>0</v>
      </c>
      <c r="AB28" s="7">
        <f t="shared" si="45"/>
        <v>1.5</v>
      </c>
      <c r="AC28" s="7">
        <f t="shared" si="46"/>
        <v>1.5</v>
      </c>
      <c r="AD28" s="7">
        <f t="shared" si="47"/>
        <v>1.5</v>
      </c>
      <c r="AE28" s="7">
        <f t="shared" si="48"/>
        <v>1.5</v>
      </c>
      <c r="AF28" s="7">
        <f t="shared" si="49"/>
        <v>1.5</v>
      </c>
      <c r="AG28" s="7">
        <f t="shared" si="50"/>
        <v>0</v>
      </c>
      <c r="AH28" s="10">
        <f t="shared" si="25"/>
        <v>1800</v>
      </c>
    </row>
    <row r="29" spans="1:39" x14ac:dyDescent="0.35">
      <c r="A29" s="51" t="str">
        <f>'Rendimientos y Cuadrillas'!A29</f>
        <v>4.04</v>
      </c>
      <c r="B29" t="str">
        <f>'Rendimientos y Cuadrillas'!B29</f>
        <v>Cemento Asfáltico Modificado con Polímeros</v>
      </c>
      <c r="C29" s="7">
        <f>VALUE('Rendimientos y Cuadrillas'!D29)</f>
        <v>600</v>
      </c>
      <c r="D29" s="7" t="str">
        <f>'Rendimientos y Cuadrillas'!C29</f>
        <v>GLN/día</v>
      </c>
      <c r="E29" s="7">
        <f>SUM('Rendimientos y Cuadrillas'!E29:H29)</f>
        <v>4.2</v>
      </c>
      <c r="F29" s="7">
        <f>'Rendimientos y Cuadrillas'!J29</f>
        <v>1</v>
      </c>
      <c r="G29" s="7">
        <f t="shared" si="26"/>
        <v>0.52500000000000002</v>
      </c>
      <c r="H29" s="11">
        <v>19</v>
      </c>
      <c r="I29" s="11">
        <v>23</v>
      </c>
      <c r="J29" s="7">
        <f t="shared" si="27"/>
        <v>0</v>
      </c>
      <c r="K29" s="7">
        <f t="shared" si="28"/>
        <v>0</v>
      </c>
      <c r="L29" s="7">
        <f t="shared" si="29"/>
        <v>0</v>
      </c>
      <c r="M29" s="7">
        <f t="shared" si="30"/>
        <v>0</v>
      </c>
      <c r="N29" s="7">
        <f t="shared" si="31"/>
        <v>0</v>
      </c>
      <c r="O29" s="7">
        <f t="shared" si="32"/>
        <v>0</v>
      </c>
      <c r="P29" s="7">
        <f t="shared" si="33"/>
        <v>0</v>
      </c>
      <c r="Q29" s="7">
        <f t="shared" si="34"/>
        <v>0</v>
      </c>
      <c r="R29" s="7">
        <f t="shared" si="35"/>
        <v>0</v>
      </c>
      <c r="S29" s="7">
        <f t="shared" si="36"/>
        <v>0</v>
      </c>
      <c r="T29" s="7">
        <f t="shared" si="37"/>
        <v>0</v>
      </c>
      <c r="U29" s="7">
        <f t="shared" si="38"/>
        <v>0</v>
      </c>
      <c r="V29" s="7">
        <f t="shared" si="39"/>
        <v>0</v>
      </c>
      <c r="W29" s="7">
        <f t="shared" si="40"/>
        <v>0</v>
      </c>
      <c r="X29" s="7">
        <f t="shared" si="41"/>
        <v>0</v>
      </c>
      <c r="Y29" s="7">
        <f t="shared" si="42"/>
        <v>0</v>
      </c>
      <c r="Z29" s="7">
        <f t="shared" si="43"/>
        <v>0</v>
      </c>
      <c r="AA29" s="7">
        <f t="shared" si="44"/>
        <v>0</v>
      </c>
      <c r="AB29" s="7">
        <f t="shared" si="45"/>
        <v>0.52500000000000002</v>
      </c>
      <c r="AC29" s="7">
        <f t="shared" si="46"/>
        <v>0.52500000000000002</v>
      </c>
      <c r="AD29" s="7">
        <f t="shared" si="47"/>
        <v>0.52500000000000002</v>
      </c>
      <c r="AE29" s="7">
        <f t="shared" si="48"/>
        <v>0.52500000000000002</v>
      </c>
      <c r="AF29" s="7">
        <f t="shared" si="49"/>
        <v>0.52500000000000002</v>
      </c>
      <c r="AG29" s="7">
        <f t="shared" si="50"/>
        <v>0</v>
      </c>
      <c r="AH29" s="10">
        <f t="shared" si="25"/>
        <v>630</v>
      </c>
    </row>
    <row r="31" spans="1:39" x14ac:dyDescent="0.35">
      <c r="A31" s="43" t="s">
        <v>158</v>
      </c>
      <c r="B31" s="43"/>
      <c r="C31" s="43"/>
      <c r="D31" s="43"/>
      <c r="E31" s="43"/>
      <c r="F31" s="43"/>
      <c r="G31" s="43"/>
      <c r="H31" s="43"/>
      <c r="I31" s="43"/>
      <c r="J31" s="9">
        <f t="shared" ref="J31:AH31" si="51">SUM(J9:J29)</f>
        <v>3.4375</v>
      </c>
      <c r="K31" s="9">
        <f t="shared" si="51"/>
        <v>2.2250000000000001</v>
      </c>
      <c r="L31" s="9">
        <f t="shared" si="51"/>
        <v>2.2000000000000002</v>
      </c>
      <c r="M31" s="9">
        <f t="shared" si="51"/>
        <v>2.7875000000000001</v>
      </c>
      <c r="N31" s="9">
        <f t="shared" si="51"/>
        <v>6.7875000000000005</v>
      </c>
      <c r="O31" s="9">
        <f t="shared" si="51"/>
        <v>10.975</v>
      </c>
      <c r="P31" s="9">
        <f t="shared" si="51"/>
        <v>11.6625</v>
      </c>
      <c r="Q31" s="9">
        <f t="shared" si="51"/>
        <v>8.9124999999999996</v>
      </c>
      <c r="R31" s="9">
        <f t="shared" si="51"/>
        <v>3.35</v>
      </c>
      <c r="S31" s="9">
        <f t="shared" si="51"/>
        <v>4.0374999999999996</v>
      </c>
      <c r="T31" s="9">
        <f t="shared" si="51"/>
        <v>3.0750000000000002</v>
      </c>
      <c r="U31" s="9">
        <f t="shared" si="51"/>
        <v>3.2625000000000002</v>
      </c>
      <c r="V31" s="9">
        <f t="shared" si="51"/>
        <v>4.45</v>
      </c>
      <c r="W31" s="9">
        <f t="shared" si="51"/>
        <v>4.6375000000000002</v>
      </c>
      <c r="X31" s="9">
        <f t="shared" si="51"/>
        <v>2.7625000000000002</v>
      </c>
      <c r="Y31" s="9">
        <f t="shared" si="51"/>
        <v>1.8875</v>
      </c>
      <c r="Z31" s="9">
        <f t="shared" si="51"/>
        <v>2.5750000000000002</v>
      </c>
      <c r="AA31" s="9">
        <f t="shared" si="51"/>
        <v>2.2625000000000002</v>
      </c>
      <c r="AB31" s="9">
        <f t="shared" si="51"/>
        <v>4.2875000000000005</v>
      </c>
      <c r="AC31" s="9">
        <f t="shared" si="51"/>
        <v>3.6</v>
      </c>
      <c r="AD31" s="9">
        <f t="shared" si="51"/>
        <v>3.6</v>
      </c>
      <c r="AE31" s="9">
        <f t="shared" si="51"/>
        <v>3.0375000000000001</v>
      </c>
      <c r="AF31" s="9">
        <f t="shared" si="51"/>
        <v>3.0375000000000001</v>
      </c>
      <c r="AG31" s="9">
        <f t="shared" si="51"/>
        <v>1.0125</v>
      </c>
      <c r="AH31" s="9">
        <f t="shared" si="51"/>
        <v>23967</v>
      </c>
    </row>
    <row r="34" spans="1:34" ht="42" customHeight="1" x14ac:dyDescent="0.35">
      <c r="A34" s="44" t="s">
        <v>159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</sheetData>
  <mergeCells count="3">
    <mergeCell ref="A1:AG1"/>
    <mergeCell ref="A31:I31"/>
    <mergeCell ref="A34:AH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zoomScale="70" zoomScaleNormal="70" workbookViewId="0">
      <selection activeCell="N35" sqref="N35"/>
    </sheetView>
  </sheetViews>
  <sheetFormatPr baseColWidth="10" defaultColWidth="9.1796875" defaultRowHeight="14.5" x14ac:dyDescent="0.35"/>
  <cols>
    <col min="1" max="1" width="20.453125" customWidth="1"/>
    <col min="2" max="6" width="18" customWidth="1"/>
    <col min="8" max="9" width="22" customWidth="1"/>
  </cols>
  <sheetData>
    <row r="1" spans="1:10" ht="28" customHeight="1" x14ac:dyDescent="0.35">
      <c r="A1" s="45" t="s">
        <v>160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x14ac:dyDescent="0.35">
      <c r="A3" s="12" t="s">
        <v>161</v>
      </c>
      <c r="B3" s="12" t="s">
        <v>110</v>
      </c>
      <c r="H3" s="12" t="s">
        <v>162</v>
      </c>
      <c r="I3" s="12" t="s">
        <v>110</v>
      </c>
    </row>
    <row r="4" spans="1:10" x14ac:dyDescent="0.35">
      <c r="A4" t="s">
        <v>163</v>
      </c>
      <c r="B4">
        <v>720</v>
      </c>
      <c r="H4" t="s">
        <v>164</v>
      </c>
      <c r="I4" s="10">
        <f>SUM(C10:C33)</f>
        <v>23967</v>
      </c>
    </row>
    <row r="5" spans="1:10" x14ac:dyDescent="0.35">
      <c r="A5" t="s">
        <v>165</v>
      </c>
      <c r="B5">
        <v>30</v>
      </c>
      <c r="H5" t="s">
        <v>166</v>
      </c>
      <c r="I5" s="10">
        <f>AVERAGE(B10:B33)</f>
        <v>4.1609375000000002</v>
      </c>
    </row>
    <row r="6" spans="1:10" x14ac:dyDescent="0.35">
      <c r="A6" t="s">
        <v>167</v>
      </c>
      <c r="B6">
        <v>8</v>
      </c>
      <c r="H6" t="s">
        <v>168</v>
      </c>
      <c r="I6" s="10">
        <f>MAX(B10:B33)</f>
        <v>11.6625</v>
      </c>
    </row>
    <row r="7" spans="1:10" x14ac:dyDescent="0.35">
      <c r="A7" t="s">
        <v>118</v>
      </c>
      <c r="B7">
        <v>24</v>
      </c>
    </row>
    <row r="9" spans="1:10" x14ac:dyDescent="0.35">
      <c r="A9" s="13" t="s">
        <v>169</v>
      </c>
      <c r="B9" s="13" t="s">
        <v>125</v>
      </c>
      <c r="C9" s="13" t="s">
        <v>170</v>
      </c>
      <c r="D9" s="13" t="s">
        <v>171</v>
      </c>
      <c r="E9" s="13" t="s">
        <v>172</v>
      </c>
      <c r="F9" s="13" t="s">
        <v>173</v>
      </c>
    </row>
    <row r="10" spans="1:10" x14ac:dyDescent="0.35">
      <c r="A10">
        <v>1</v>
      </c>
      <c r="B10" s="10">
        <f>'Histograma 720 dias'!J31</f>
        <v>3.4375</v>
      </c>
      <c r="C10" s="10">
        <f t="shared" ref="C10:C33" si="0">B10*$B$5*$B$6</f>
        <v>825</v>
      </c>
      <c r="D10" s="10">
        <f>C10</f>
        <v>825</v>
      </c>
      <c r="E10" s="14">
        <f t="shared" ref="E10:E33" si="1">C10/$I$4</f>
        <v>3.4422330704718986E-2</v>
      </c>
      <c r="F10" s="14">
        <f t="shared" ref="F10:F33" si="2">D10/$I$4</f>
        <v>3.4422330704718986E-2</v>
      </c>
    </row>
    <row r="11" spans="1:10" x14ac:dyDescent="0.35">
      <c r="A11">
        <v>2</v>
      </c>
      <c r="B11" s="10">
        <f>'Histograma 720 dias'!K31</f>
        <v>2.2250000000000001</v>
      </c>
      <c r="C11" s="10">
        <f t="shared" si="0"/>
        <v>534</v>
      </c>
      <c r="D11" s="10">
        <f t="shared" ref="D11:D33" si="3">D10+C11</f>
        <v>1359</v>
      </c>
      <c r="E11" s="14">
        <f t="shared" si="1"/>
        <v>2.2280635874327201E-2</v>
      </c>
      <c r="F11" s="14">
        <f t="shared" si="2"/>
        <v>5.6702966579046186E-2</v>
      </c>
    </row>
    <row r="12" spans="1:10" x14ac:dyDescent="0.35">
      <c r="A12">
        <v>3</v>
      </c>
      <c r="B12" s="10">
        <f>'Histograma 720 dias'!L31</f>
        <v>2.2000000000000002</v>
      </c>
      <c r="C12" s="10">
        <f t="shared" si="0"/>
        <v>528</v>
      </c>
      <c r="D12" s="10">
        <f t="shared" si="3"/>
        <v>1887</v>
      </c>
      <c r="E12" s="14">
        <f t="shared" si="1"/>
        <v>2.2030291651020151E-2</v>
      </c>
      <c r="F12" s="14">
        <f t="shared" si="2"/>
        <v>7.8733258230066341E-2</v>
      </c>
    </row>
    <row r="13" spans="1:10" x14ac:dyDescent="0.35">
      <c r="A13">
        <v>4</v>
      </c>
      <c r="B13" s="10">
        <f>'Histograma 720 dias'!M31</f>
        <v>2.7875000000000001</v>
      </c>
      <c r="C13" s="10">
        <f t="shared" si="0"/>
        <v>669</v>
      </c>
      <c r="D13" s="10">
        <f t="shared" si="3"/>
        <v>2556</v>
      </c>
      <c r="E13" s="14">
        <f t="shared" si="1"/>
        <v>2.7913380898735761E-2</v>
      </c>
      <c r="F13" s="14">
        <f t="shared" si="2"/>
        <v>0.10664663912880211</v>
      </c>
    </row>
    <row r="14" spans="1:10" x14ac:dyDescent="0.35">
      <c r="A14">
        <v>5</v>
      </c>
      <c r="B14" s="10">
        <f>'Histograma 720 dias'!N31</f>
        <v>6.7875000000000005</v>
      </c>
      <c r="C14" s="10">
        <f t="shared" si="0"/>
        <v>1629.0000000000002</v>
      </c>
      <c r="D14" s="10">
        <f t="shared" si="3"/>
        <v>4185</v>
      </c>
      <c r="E14" s="14">
        <f t="shared" si="1"/>
        <v>6.7968456627863327E-2</v>
      </c>
      <c r="F14" s="14">
        <f t="shared" si="2"/>
        <v>0.17461509575666542</v>
      </c>
    </row>
    <row r="15" spans="1:10" x14ac:dyDescent="0.35">
      <c r="A15">
        <v>6</v>
      </c>
      <c r="B15" s="10">
        <f>'Histograma 720 dias'!O31</f>
        <v>10.975</v>
      </c>
      <c r="C15" s="10">
        <f t="shared" si="0"/>
        <v>2634</v>
      </c>
      <c r="D15" s="10">
        <f t="shared" si="3"/>
        <v>6819</v>
      </c>
      <c r="E15" s="14">
        <f t="shared" si="1"/>
        <v>0.10990111403179371</v>
      </c>
      <c r="F15" s="14">
        <f t="shared" si="2"/>
        <v>0.28451620978845915</v>
      </c>
    </row>
    <row r="16" spans="1:10" x14ac:dyDescent="0.35">
      <c r="A16">
        <v>7</v>
      </c>
      <c r="B16" s="10">
        <f>'Histograma 720 dias'!P31</f>
        <v>11.6625</v>
      </c>
      <c r="C16" s="10">
        <f t="shared" si="0"/>
        <v>2799</v>
      </c>
      <c r="D16" s="10">
        <f t="shared" si="3"/>
        <v>9618</v>
      </c>
      <c r="E16" s="14">
        <f t="shared" si="1"/>
        <v>0.11678558017273752</v>
      </c>
      <c r="F16" s="14">
        <f t="shared" si="2"/>
        <v>0.40130178996119664</v>
      </c>
    </row>
    <row r="17" spans="1:6" x14ac:dyDescent="0.35">
      <c r="A17">
        <v>8</v>
      </c>
      <c r="B17" s="10">
        <f>'Histograma 720 dias'!Q31</f>
        <v>8.9124999999999996</v>
      </c>
      <c r="C17" s="10">
        <f t="shared" si="0"/>
        <v>2139</v>
      </c>
      <c r="D17" s="10">
        <f t="shared" si="3"/>
        <v>11757</v>
      </c>
      <c r="E17" s="14">
        <f t="shared" si="1"/>
        <v>8.9247715608962316E-2</v>
      </c>
      <c r="F17" s="14">
        <f t="shared" si="2"/>
        <v>0.49054950557015897</v>
      </c>
    </row>
    <row r="18" spans="1:6" x14ac:dyDescent="0.35">
      <c r="A18">
        <v>9</v>
      </c>
      <c r="B18" s="10">
        <f>'Histograma 720 dias'!R31</f>
        <v>3.35</v>
      </c>
      <c r="C18" s="10">
        <f t="shared" si="0"/>
        <v>804</v>
      </c>
      <c r="D18" s="10">
        <f t="shared" si="3"/>
        <v>12561</v>
      </c>
      <c r="E18" s="14">
        <f t="shared" si="1"/>
        <v>3.3546125923144321E-2</v>
      </c>
      <c r="F18" s="14">
        <f t="shared" si="2"/>
        <v>0.52409563149330329</v>
      </c>
    </row>
    <row r="19" spans="1:6" x14ac:dyDescent="0.35">
      <c r="A19">
        <v>10</v>
      </c>
      <c r="B19" s="10">
        <f>'Histograma 720 dias'!S31</f>
        <v>4.0374999999999996</v>
      </c>
      <c r="C19" s="10">
        <f t="shared" si="0"/>
        <v>968.99999999999989</v>
      </c>
      <c r="D19" s="10">
        <f t="shared" si="3"/>
        <v>13530</v>
      </c>
      <c r="E19" s="14">
        <f t="shared" si="1"/>
        <v>4.0430592064088118E-2</v>
      </c>
      <c r="F19" s="14">
        <f t="shared" si="2"/>
        <v>0.56452622355739146</v>
      </c>
    </row>
    <row r="20" spans="1:6" x14ac:dyDescent="0.35">
      <c r="A20">
        <v>11</v>
      </c>
      <c r="B20" s="10">
        <f>'Histograma 720 dias'!T31</f>
        <v>3.0750000000000002</v>
      </c>
      <c r="C20" s="10">
        <f t="shared" si="0"/>
        <v>738</v>
      </c>
      <c r="D20" s="10">
        <f t="shared" si="3"/>
        <v>14268</v>
      </c>
      <c r="E20" s="14">
        <f t="shared" si="1"/>
        <v>3.0792339466766804E-2</v>
      </c>
      <c r="F20" s="14">
        <f t="shared" si="2"/>
        <v>0.5953185630241582</v>
      </c>
    </row>
    <row r="21" spans="1:6" x14ac:dyDescent="0.35">
      <c r="A21">
        <v>12</v>
      </c>
      <c r="B21" s="10">
        <f>'Histograma 720 dias'!U31</f>
        <v>3.2625000000000002</v>
      </c>
      <c r="C21" s="10">
        <f t="shared" si="0"/>
        <v>783</v>
      </c>
      <c r="D21" s="10">
        <f t="shared" si="3"/>
        <v>15051</v>
      </c>
      <c r="E21" s="14">
        <f t="shared" si="1"/>
        <v>3.2669921141569656E-2</v>
      </c>
      <c r="F21" s="14">
        <f t="shared" si="2"/>
        <v>0.62798848416572783</v>
      </c>
    </row>
    <row r="22" spans="1:6" x14ac:dyDescent="0.35">
      <c r="A22">
        <v>13</v>
      </c>
      <c r="B22" s="10">
        <f>'Histograma 720 dias'!V31</f>
        <v>4.45</v>
      </c>
      <c r="C22" s="10">
        <f t="shared" si="0"/>
        <v>1068</v>
      </c>
      <c r="D22" s="10">
        <f t="shared" si="3"/>
        <v>16119</v>
      </c>
      <c r="E22" s="14">
        <f t="shared" si="1"/>
        <v>4.4561271748654402E-2</v>
      </c>
      <c r="F22" s="14">
        <f t="shared" si="2"/>
        <v>0.67254975591438226</v>
      </c>
    </row>
    <row r="23" spans="1:6" x14ac:dyDescent="0.35">
      <c r="A23">
        <v>14</v>
      </c>
      <c r="B23" s="10">
        <f>'Histograma 720 dias'!W31</f>
        <v>4.6375000000000002</v>
      </c>
      <c r="C23" s="10">
        <f t="shared" si="0"/>
        <v>1113</v>
      </c>
      <c r="D23" s="10">
        <f t="shared" si="3"/>
        <v>17232</v>
      </c>
      <c r="E23" s="14">
        <f t="shared" si="1"/>
        <v>4.6438853423457251E-2</v>
      </c>
      <c r="F23" s="14">
        <f t="shared" si="2"/>
        <v>0.71898860933783948</v>
      </c>
    </row>
    <row r="24" spans="1:6" x14ac:dyDescent="0.35">
      <c r="A24">
        <v>15</v>
      </c>
      <c r="B24" s="10">
        <f>'Histograma 720 dias'!X31</f>
        <v>2.7625000000000002</v>
      </c>
      <c r="C24" s="10">
        <f t="shared" si="0"/>
        <v>663</v>
      </c>
      <c r="D24" s="10">
        <f t="shared" si="3"/>
        <v>17895</v>
      </c>
      <c r="E24" s="14">
        <f t="shared" si="1"/>
        <v>2.7663036675428715E-2</v>
      </c>
      <c r="F24" s="14">
        <f t="shared" si="2"/>
        <v>0.74665164601326828</v>
      </c>
    </row>
    <row r="25" spans="1:6" x14ac:dyDescent="0.35">
      <c r="A25">
        <v>16</v>
      </c>
      <c r="B25" s="10">
        <f>'Histograma 720 dias'!Y31</f>
        <v>1.8875</v>
      </c>
      <c r="C25" s="10">
        <f t="shared" si="0"/>
        <v>453</v>
      </c>
      <c r="D25" s="10">
        <f t="shared" si="3"/>
        <v>18348</v>
      </c>
      <c r="E25" s="14">
        <f t="shared" si="1"/>
        <v>1.8900988859682062E-2</v>
      </c>
      <c r="F25" s="14">
        <f t="shared" si="2"/>
        <v>0.76555263487295033</v>
      </c>
    </row>
    <row r="26" spans="1:6" x14ac:dyDescent="0.35">
      <c r="A26">
        <v>17</v>
      </c>
      <c r="B26" s="10">
        <f>'Histograma 720 dias'!Z31</f>
        <v>2.5750000000000002</v>
      </c>
      <c r="C26" s="10">
        <f t="shared" si="0"/>
        <v>618</v>
      </c>
      <c r="D26" s="10">
        <f t="shared" si="3"/>
        <v>18966</v>
      </c>
      <c r="E26" s="14">
        <f t="shared" si="1"/>
        <v>2.5785455000625859E-2</v>
      </c>
      <c r="F26" s="14">
        <f t="shared" si="2"/>
        <v>0.79133808987357612</v>
      </c>
    </row>
    <row r="27" spans="1:6" x14ac:dyDescent="0.35">
      <c r="A27">
        <v>18</v>
      </c>
      <c r="B27" s="10">
        <f>'Histograma 720 dias'!AA31</f>
        <v>2.2625000000000002</v>
      </c>
      <c r="C27" s="10">
        <f t="shared" si="0"/>
        <v>543</v>
      </c>
      <c r="D27" s="10">
        <f t="shared" si="3"/>
        <v>19509</v>
      </c>
      <c r="E27" s="14">
        <f t="shared" si="1"/>
        <v>2.265615220928777E-2</v>
      </c>
      <c r="F27" s="14">
        <f t="shared" si="2"/>
        <v>0.81399424208286397</v>
      </c>
    </row>
    <row r="28" spans="1:6" x14ac:dyDescent="0.35">
      <c r="A28">
        <v>19</v>
      </c>
      <c r="B28" s="10">
        <f>'Histograma 720 dias'!AB31</f>
        <v>4.2875000000000005</v>
      </c>
      <c r="C28" s="10">
        <f t="shared" si="0"/>
        <v>1029.0000000000002</v>
      </c>
      <c r="D28" s="10">
        <f t="shared" si="3"/>
        <v>20538</v>
      </c>
      <c r="E28" s="14">
        <f t="shared" si="1"/>
        <v>4.2934034297158599E-2</v>
      </c>
      <c r="F28" s="14">
        <f t="shared" si="2"/>
        <v>0.85692827638002256</v>
      </c>
    </row>
    <row r="29" spans="1:6" x14ac:dyDescent="0.35">
      <c r="A29">
        <v>20</v>
      </c>
      <c r="B29" s="10">
        <f>'Histograma 720 dias'!AC31</f>
        <v>3.6</v>
      </c>
      <c r="C29" s="10">
        <f t="shared" si="0"/>
        <v>864</v>
      </c>
      <c r="D29" s="10">
        <f t="shared" si="3"/>
        <v>21402</v>
      </c>
      <c r="E29" s="14">
        <f t="shared" si="1"/>
        <v>3.6049568156214795E-2</v>
      </c>
      <c r="F29" s="14">
        <f t="shared" si="2"/>
        <v>0.8929778445362373</v>
      </c>
    </row>
    <row r="30" spans="1:6" x14ac:dyDescent="0.35">
      <c r="A30">
        <v>21</v>
      </c>
      <c r="B30" s="10">
        <f>'Histograma 720 dias'!AD31</f>
        <v>3.6</v>
      </c>
      <c r="C30" s="10">
        <f t="shared" si="0"/>
        <v>864</v>
      </c>
      <c r="D30" s="10">
        <f t="shared" si="3"/>
        <v>22266</v>
      </c>
      <c r="E30" s="14">
        <f t="shared" si="1"/>
        <v>3.6049568156214795E-2</v>
      </c>
      <c r="F30" s="14">
        <f t="shared" si="2"/>
        <v>0.92902741269245215</v>
      </c>
    </row>
    <row r="31" spans="1:6" x14ac:dyDescent="0.35">
      <c r="A31">
        <v>22</v>
      </c>
      <c r="B31" s="10">
        <f>'Histograma 720 dias'!AE31</f>
        <v>3.0375000000000001</v>
      </c>
      <c r="C31" s="10">
        <f t="shared" si="0"/>
        <v>729</v>
      </c>
      <c r="D31" s="10">
        <f t="shared" si="3"/>
        <v>22995</v>
      </c>
      <c r="E31" s="14">
        <f t="shared" si="1"/>
        <v>3.0416823131806235E-2</v>
      </c>
      <c r="F31" s="14">
        <f t="shared" si="2"/>
        <v>0.95944423582425831</v>
      </c>
    </row>
    <row r="32" spans="1:6" x14ac:dyDescent="0.35">
      <c r="A32">
        <v>23</v>
      </c>
      <c r="B32" s="10">
        <f>'Histograma 720 dias'!AF31</f>
        <v>3.0375000000000001</v>
      </c>
      <c r="C32" s="10">
        <f t="shared" si="0"/>
        <v>729</v>
      </c>
      <c r="D32" s="10">
        <f t="shared" si="3"/>
        <v>23724</v>
      </c>
      <c r="E32" s="14">
        <f t="shared" si="1"/>
        <v>3.0416823131806235E-2</v>
      </c>
      <c r="F32" s="14">
        <f t="shared" si="2"/>
        <v>0.98986105895606458</v>
      </c>
    </row>
    <row r="33" spans="1:10" x14ac:dyDescent="0.35">
      <c r="A33">
        <v>24</v>
      </c>
      <c r="B33" s="10">
        <f>'Histograma 720 dias'!AG31</f>
        <v>1.0125</v>
      </c>
      <c r="C33" s="10">
        <f t="shared" si="0"/>
        <v>243</v>
      </c>
      <c r="D33" s="10">
        <f t="shared" si="3"/>
        <v>23967</v>
      </c>
      <c r="E33" s="14">
        <f t="shared" si="1"/>
        <v>1.0138941043935411E-2</v>
      </c>
      <c r="F33" s="14">
        <f t="shared" si="2"/>
        <v>1</v>
      </c>
    </row>
    <row r="34" spans="1:10" x14ac:dyDescent="0.35">
      <c r="A34" s="15" t="s">
        <v>174</v>
      </c>
      <c r="B34" s="15"/>
      <c r="C34" s="16">
        <f>SUM(C10:C33)</f>
        <v>23967</v>
      </c>
      <c r="D34" s="16">
        <f>D33</f>
        <v>23967</v>
      </c>
      <c r="E34" s="17">
        <f>SUM(E10:E33)</f>
        <v>1.0000000000000002</v>
      </c>
      <c r="F34" s="17">
        <f>F33</f>
        <v>1</v>
      </c>
    </row>
    <row r="36" spans="1:10" x14ac:dyDescent="0.35">
      <c r="A36" s="46" t="s">
        <v>175</v>
      </c>
      <c r="B36" s="46"/>
      <c r="C36" s="46"/>
      <c r="D36" s="46"/>
      <c r="E36" s="46"/>
      <c r="F36" s="46"/>
      <c r="G36" s="46"/>
      <c r="H36" s="46"/>
      <c r="I36" s="46"/>
      <c r="J36" s="46"/>
    </row>
    <row r="37" spans="1:10" x14ac:dyDescent="0.35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spans="1:10" x14ac:dyDescent="0.35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spans="1:10" x14ac:dyDescent="0.35">
      <c r="A39" s="47" t="s">
        <v>176</v>
      </c>
      <c r="B39" s="47"/>
      <c r="C39" s="47"/>
      <c r="D39" s="47"/>
      <c r="E39" s="47"/>
      <c r="F39" s="47"/>
      <c r="G39" s="47"/>
      <c r="H39" s="47"/>
      <c r="I39" s="47"/>
    </row>
    <row r="40" spans="1:10" x14ac:dyDescent="0.35">
      <c r="A40" s="47"/>
      <c r="B40" s="47"/>
      <c r="C40" s="47"/>
      <c r="D40" s="47"/>
      <c r="E40" s="47"/>
      <c r="F40" s="47"/>
      <c r="G40" s="47"/>
      <c r="H40" s="47"/>
      <c r="I40" s="47"/>
    </row>
  </sheetData>
  <mergeCells count="3">
    <mergeCell ref="A1:J1"/>
    <mergeCell ref="A36:J38"/>
    <mergeCell ref="A39:I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zoomScale="85" zoomScaleNormal="85" workbookViewId="0">
      <selection sqref="A1:N1"/>
    </sheetView>
  </sheetViews>
  <sheetFormatPr baseColWidth="10" defaultColWidth="9.1796875" defaultRowHeight="14.5" x14ac:dyDescent="0.35"/>
  <cols>
    <col min="1" max="1" width="36" customWidth="1"/>
    <col min="2" max="3" width="16" customWidth="1"/>
    <col min="4" max="4" width="30" customWidth="1"/>
    <col min="6" max="6" width="38" customWidth="1"/>
    <col min="7" max="7" width="16" customWidth="1"/>
    <col min="8" max="8" width="14" customWidth="1"/>
    <col min="9" max="9" width="45" customWidth="1"/>
  </cols>
  <sheetData>
    <row r="1" spans="1:14" ht="28" customHeight="1" x14ac:dyDescent="0.35">
      <c r="A1" s="48" t="s">
        <v>177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3" spans="1:14" x14ac:dyDescent="0.35">
      <c r="A3" s="18" t="s">
        <v>178</v>
      </c>
      <c r="B3" s="18" t="s">
        <v>179</v>
      </c>
      <c r="C3" s="18" t="s">
        <v>180</v>
      </c>
      <c r="D3" s="18" t="s">
        <v>181</v>
      </c>
      <c r="F3" s="21" t="s">
        <v>182</v>
      </c>
      <c r="G3" s="21" t="s">
        <v>183</v>
      </c>
      <c r="H3" s="21" t="s">
        <v>180</v>
      </c>
      <c r="I3" s="21" t="s">
        <v>184</v>
      </c>
    </row>
    <row r="4" spans="1:14" x14ac:dyDescent="0.35">
      <c r="A4" t="s">
        <v>185</v>
      </c>
      <c r="B4">
        <v>112854.85</v>
      </c>
      <c r="C4" t="s">
        <v>186</v>
      </c>
      <c r="D4" t="s">
        <v>187</v>
      </c>
      <c r="F4" t="s">
        <v>188</v>
      </c>
      <c r="G4" s="10">
        <f>B4/B5</f>
        <v>451.4194</v>
      </c>
      <c r="H4" t="s">
        <v>113</v>
      </c>
      <c r="I4" t="s">
        <v>189</v>
      </c>
    </row>
    <row r="5" spans="1:14" x14ac:dyDescent="0.35">
      <c r="A5" t="s">
        <v>190</v>
      </c>
      <c r="B5">
        <v>250</v>
      </c>
      <c r="C5" t="s">
        <v>191</v>
      </c>
      <c r="D5" t="s">
        <v>192</v>
      </c>
      <c r="F5" t="s">
        <v>193</v>
      </c>
      <c r="G5" s="10">
        <f>B5*B10</f>
        <v>187.5</v>
      </c>
      <c r="H5" t="s">
        <v>191</v>
      </c>
      <c r="I5" t="s">
        <v>194</v>
      </c>
    </row>
    <row r="6" spans="1:14" x14ac:dyDescent="0.35">
      <c r="A6" t="s">
        <v>195</v>
      </c>
      <c r="B6">
        <v>14</v>
      </c>
      <c r="C6" t="s">
        <v>113</v>
      </c>
      <c r="D6" t="s">
        <v>196</v>
      </c>
      <c r="F6" t="s">
        <v>197</v>
      </c>
      <c r="G6" s="10">
        <f>B4/G5</f>
        <v>601.8925333333334</v>
      </c>
      <c r="H6" t="s">
        <v>113</v>
      </c>
      <c r="I6" t="s">
        <v>198</v>
      </c>
    </row>
    <row r="7" spans="1:14" x14ac:dyDescent="0.35">
      <c r="A7" t="s">
        <v>199</v>
      </c>
      <c r="B7">
        <v>120</v>
      </c>
      <c r="C7" t="s">
        <v>113</v>
      </c>
      <c r="D7" t="s">
        <v>200</v>
      </c>
      <c r="F7" t="s">
        <v>201</v>
      </c>
      <c r="G7" s="10">
        <f>B7-B6</f>
        <v>106</v>
      </c>
      <c r="H7" t="s">
        <v>113</v>
      </c>
      <c r="I7" t="s">
        <v>202</v>
      </c>
    </row>
    <row r="8" spans="1:14" x14ac:dyDescent="0.35">
      <c r="A8" t="s">
        <v>203</v>
      </c>
      <c r="B8">
        <v>10</v>
      </c>
      <c r="C8" t="s">
        <v>204</v>
      </c>
      <c r="D8" t="s">
        <v>205</v>
      </c>
      <c r="F8" t="s">
        <v>206</v>
      </c>
      <c r="G8" s="10">
        <f>B4/G7</f>
        <v>1064.6683962264151</v>
      </c>
      <c r="H8" t="s">
        <v>191</v>
      </c>
      <c r="I8" t="s">
        <v>207</v>
      </c>
    </row>
    <row r="9" spans="1:14" x14ac:dyDescent="0.35">
      <c r="A9" t="s">
        <v>208</v>
      </c>
      <c r="B9">
        <v>8</v>
      </c>
      <c r="C9" t="s">
        <v>209</v>
      </c>
      <c r="D9" t="s">
        <v>210</v>
      </c>
      <c r="F9" t="s">
        <v>211</v>
      </c>
      <c r="G9" s="10">
        <f>ROUNDUP(G8/G5,0)</f>
        <v>6</v>
      </c>
      <c r="H9" t="s">
        <v>212</v>
      </c>
      <c r="I9" t="s">
        <v>213</v>
      </c>
    </row>
    <row r="10" spans="1:14" x14ac:dyDescent="0.35">
      <c r="A10" t="s">
        <v>214</v>
      </c>
      <c r="B10" s="19">
        <v>0.75</v>
      </c>
      <c r="C10" t="s">
        <v>215</v>
      </c>
      <c r="D10" t="s">
        <v>216</v>
      </c>
      <c r="F10" t="s">
        <v>217</v>
      </c>
      <c r="G10" s="10">
        <f>G9*G5</f>
        <v>1125</v>
      </c>
      <c r="H10" t="s">
        <v>191</v>
      </c>
      <c r="I10" t="s">
        <v>218</v>
      </c>
    </row>
    <row r="11" spans="1:14" x14ac:dyDescent="0.35">
      <c r="A11" t="s">
        <v>219</v>
      </c>
      <c r="B11" s="20">
        <v>46411</v>
      </c>
      <c r="C11" t="s">
        <v>220</v>
      </c>
      <c r="D11" t="s">
        <v>132</v>
      </c>
      <c r="F11" t="s">
        <v>221</v>
      </c>
      <c r="G11" s="10">
        <f>ROUNDUP(B4/G10,0)</f>
        <v>101</v>
      </c>
      <c r="H11" t="s">
        <v>113</v>
      </c>
      <c r="I11" t="s">
        <v>222</v>
      </c>
    </row>
    <row r="12" spans="1:14" x14ac:dyDescent="0.35">
      <c r="A12" t="s">
        <v>223</v>
      </c>
      <c r="B12" s="20">
        <v>46530</v>
      </c>
      <c r="C12" t="s">
        <v>220</v>
      </c>
      <c r="D12" t="s">
        <v>224</v>
      </c>
      <c r="F12" t="s">
        <v>225</v>
      </c>
      <c r="G12" s="20">
        <f>B11+B6</f>
        <v>46425</v>
      </c>
      <c r="H12" t="s">
        <v>220</v>
      </c>
      <c r="I12" t="s">
        <v>226</v>
      </c>
    </row>
    <row r="13" spans="1:14" x14ac:dyDescent="0.35">
      <c r="F13" t="s">
        <v>227</v>
      </c>
      <c r="G13" s="20">
        <f>G12+G11-1</f>
        <v>46525</v>
      </c>
      <c r="H13" t="s">
        <v>220</v>
      </c>
      <c r="I13" t="s">
        <v>228</v>
      </c>
    </row>
    <row r="14" spans="1:14" x14ac:dyDescent="0.35">
      <c r="F14" t="s">
        <v>229</v>
      </c>
      <c r="G14" s="10">
        <f>B12-G13</f>
        <v>5</v>
      </c>
      <c r="H14" t="s">
        <v>113</v>
      </c>
      <c r="I14" t="s">
        <v>230</v>
      </c>
    </row>
    <row r="15" spans="1:14" x14ac:dyDescent="0.35">
      <c r="F15" t="s">
        <v>231</v>
      </c>
      <c r="G15" s="10">
        <f>G9*B8</f>
        <v>60</v>
      </c>
      <c r="H15" t="s">
        <v>204</v>
      </c>
      <c r="I15" t="s">
        <v>232</v>
      </c>
    </row>
    <row r="16" spans="1:14" x14ac:dyDescent="0.35">
      <c r="F16" t="s">
        <v>233</v>
      </c>
      <c r="G16" s="10">
        <f>G15/B9</f>
        <v>7.5</v>
      </c>
      <c r="H16" t="s">
        <v>234</v>
      </c>
      <c r="I16" t="s">
        <v>235</v>
      </c>
    </row>
    <row r="17" spans="1:14" x14ac:dyDescent="0.35">
      <c r="F17" t="s">
        <v>236</v>
      </c>
      <c r="G17" s="10">
        <f>ROUNDUP(G16,0)</f>
        <v>8</v>
      </c>
      <c r="H17" t="s">
        <v>237</v>
      </c>
      <c r="I17" t="s">
        <v>238</v>
      </c>
    </row>
    <row r="20" spans="1:14" x14ac:dyDescent="0.35">
      <c r="A20" s="18" t="s">
        <v>239</v>
      </c>
      <c r="B20" s="18" t="s">
        <v>240</v>
      </c>
      <c r="C20" s="18" t="s">
        <v>241</v>
      </c>
      <c r="D20" s="18" t="s">
        <v>242</v>
      </c>
      <c r="E20" s="18" t="s">
        <v>243</v>
      </c>
      <c r="F20" s="18" t="s">
        <v>244</v>
      </c>
      <c r="G20" s="18" t="s">
        <v>245</v>
      </c>
      <c r="H20" s="18" t="s">
        <v>246</v>
      </c>
    </row>
    <row r="21" spans="1:14" x14ac:dyDescent="0.35">
      <c r="A21" t="s">
        <v>247</v>
      </c>
      <c r="B21" s="19">
        <v>0.85</v>
      </c>
      <c r="C21" s="10">
        <f>$B$5*B21</f>
        <v>212.5</v>
      </c>
      <c r="D21" s="10">
        <f>ROUNDUP(($B$4/($B$7-$B$6))/C21,0)</f>
        <v>6</v>
      </c>
      <c r="E21" s="10">
        <f>C21*D21</f>
        <v>1275</v>
      </c>
      <c r="F21" s="10">
        <f>ROUNDUP($B$4/E21,0)</f>
        <v>89</v>
      </c>
      <c r="G21" s="20">
        <f>$B$11+$B$6+F21-1</f>
        <v>46513</v>
      </c>
      <c r="H21" s="22">
        <f>ROUNDUP((D21*$B$8)/$B$9,0)</f>
        <v>8</v>
      </c>
    </row>
    <row r="22" spans="1:14" x14ac:dyDescent="0.35">
      <c r="A22" t="s">
        <v>248</v>
      </c>
      <c r="B22" s="19">
        <v>0.75</v>
      </c>
      <c r="C22" s="10">
        <f>$B$5*B22</f>
        <v>187.5</v>
      </c>
      <c r="D22" s="10">
        <f>ROUNDUP(($B$4/($B$7-$B$6))/C22,0)</f>
        <v>6</v>
      </c>
      <c r="E22" s="10">
        <f>C22*D22</f>
        <v>1125</v>
      </c>
      <c r="F22" s="10">
        <f>ROUNDUP($B$4/E22,0)</f>
        <v>101</v>
      </c>
      <c r="G22" s="20">
        <f>$B$11+$B$6+F22-1</f>
        <v>46525</v>
      </c>
      <c r="H22" s="22">
        <f>ROUNDUP((D22*$B$8)/$B$9,0)</f>
        <v>8</v>
      </c>
    </row>
    <row r="23" spans="1:14" x14ac:dyDescent="0.35">
      <c r="A23" t="s">
        <v>249</v>
      </c>
      <c r="B23" s="19">
        <v>0.65</v>
      </c>
      <c r="C23" s="10">
        <f>$B$5*B23</f>
        <v>162.5</v>
      </c>
      <c r="D23" s="10">
        <f>ROUNDUP(($B$4/($B$7-$B$6))/C23,0)</f>
        <v>7</v>
      </c>
      <c r="E23" s="10">
        <f>C23*D23</f>
        <v>1137.5</v>
      </c>
      <c r="F23" s="10">
        <f>ROUNDUP($B$4/E23,0)</f>
        <v>100</v>
      </c>
      <c r="G23" s="20">
        <f>$B$11+$B$6+F23-1</f>
        <v>46524</v>
      </c>
      <c r="H23" s="22">
        <f>ROUNDUP((D23*$B$8)/$B$9,0)</f>
        <v>9</v>
      </c>
    </row>
    <row r="26" spans="1:14" x14ac:dyDescent="0.35">
      <c r="A26" s="49" t="s">
        <v>250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1:14" ht="34" customHeight="1" x14ac:dyDescent="0.35">
      <c r="A27" s="23" t="s">
        <v>251</v>
      </c>
      <c r="B27" s="23" t="s">
        <v>252</v>
      </c>
      <c r="C27" s="23" t="s">
        <v>253</v>
      </c>
    </row>
    <row r="28" spans="1:14" ht="34" customHeight="1" x14ac:dyDescent="0.35">
      <c r="A28" s="23" t="s">
        <v>254</v>
      </c>
      <c r="B28" s="23" t="s">
        <v>255</v>
      </c>
      <c r="C28" s="23" t="s">
        <v>256</v>
      </c>
    </row>
    <row r="29" spans="1:14" ht="34" customHeight="1" x14ac:dyDescent="0.35">
      <c r="A29" s="23" t="s">
        <v>257</v>
      </c>
      <c r="B29" s="23" t="s">
        <v>258</v>
      </c>
      <c r="C29" s="23" t="s">
        <v>259</v>
      </c>
    </row>
    <row r="30" spans="1:14" ht="34" customHeight="1" x14ac:dyDescent="0.35">
      <c r="A30" s="23" t="s">
        <v>260</v>
      </c>
      <c r="B30" s="23" t="s">
        <v>261</v>
      </c>
      <c r="C30" s="23" t="s">
        <v>262</v>
      </c>
    </row>
    <row r="31" spans="1:14" ht="34" customHeight="1" x14ac:dyDescent="0.35">
      <c r="A31" s="23" t="s">
        <v>263</v>
      </c>
      <c r="B31" s="23" t="s">
        <v>264</v>
      </c>
      <c r="C31" s="23" t="s">
        <v>265</v>
      </c>
    </row>
    <row r="32" spans="1:14" ht="34" customHeight="1" x14ac:dyDescent="0.35">
      <c r="A32" s="23" t="s">
        <v>266</v>
      </c>
      <c r="B32" s="23" t="s">
        <v>267</v>
      </c>
      <c r="C32" s="23" t="s">
        <v>268</v>
      </c>
    </row>
    <row r="33" spans="1:3" ht="34" customHeight="1" x14ac:dyDescent="0.35">
      <c r="A33" s="23" t="s">
        <v>269</v>
      </c>
      <c r="B33" s="23" t="s">
        <v>270</v>
      </c>
      <c r="C33" s="23" t="s">
        <v>271</v>
      </c>
    </row>
  </sheetData>
  <mergeCells count="2">
    <mergeCell ref="A1:N1"/>
    <mergeCell ref="A26:N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E24" sqref="E24"/>
    </sheetView>
  </sheetViews>
  <sheetFormatPr baseColWidth="10" defaultColWidth="9.1796875" defaultRowHeight="14.5" x14ac:dyDescent="0.35"/>
  <cols>
    <col min="1" max="1" width="34" customWidth="1"/>
    <col min="2" max="2" width="18" customWidth="1"/>
    <col min="3" max="3" width="20" customWidth="1"/>
    <col min="5" max="5" width="20" customWidth="1"/>
    <col min="6" max="6" width="16" customWidth="1"/>
    <col min="7" max="7" width="28" customWidth="1"/>
  </cols>
  <sheetData>
    <row r="1" spans="1:8" ht="18.5" x14ac:dyDescent="0.45">
      <c r="A1" s="50" t="s">
        <v>272</v>
      </c>
      <c r="B1" s="50"/>
      <c r="C1" s="50"/>
      <c r="D1" s="50"/>
      <c r="E1" s="50"/>
      <c r="F1" s="50"/>
      <c r="G1" s="50"/>
      <c r="H1" s="50"/>
    </row>
    <row r="3" spans="1:8" x14ac:dyDescent="0.35">
      <c r="A3" s="25" t="s">
        <v>273</v>
      </c>
      <c r="B3" s="25" t="s">
        <v>274</v>
      </c>
      <c r="C3" s="25" t="s">
        <v>111</v>
      </c>
      <c r="E3" s="25" t="s">
        <v>275</v>
      </c>
      <c r="F3" s="25" t="s">
        <v>110</v>
      </c>
      <c r="G3" s="25" t="s">
        <v>276</v>
      </c>
    </row>
    <row r="4" spans="1:8" x14ac:dyDescent="0.35">
      <c r="A4" t="s">
        <v>277</v>
      </c>
      <c r="B4">
        <v>112854.85</v>
      </c>
      <c r="C4" t="s">
        <v>186</v>
      </c>
      <c r="E4" t="s">
        <v>219</v>
      </c>
      <c r="F4" s="20">
        <v>46411</v>
      </c>
      <c r="G4" t="s">
        <v>278</v>
      </c>
    </row>
    <row r="5" spans="1:8" x14ac:dyDescent="0.35">
      <c r="A5" t="s">
        <v>279</v>
      </c>
      <c r="B5">
        <v>250</v>
      </c>
      <c r="C5" t="s">
        <v>280</v>
      </c>
      <c r="E5" t="s">
        <v>156</v>
      </c>
      <c r="F5" s="20">
        <v>46425</v>
      </c>
      <c r="G5" t="s">
        <v>281</v>
      </c>
    </row>
    <row r="6" spans="1:8" x14ac:dyDescent="0.35">
      <c r="A6" t="s">
        <v>282</v>
      </c>
      <c r="B6" s="19">
        <v>0.75</v>
      </c>
      <c r="E6" t="s">
        <v>223</v>
      </c>
      <c r="F6" s="20">
        <v>46530</v>
      </c>
      <c r="G6" t="s">
        <v>283</v>
      </c>
    </row>
    <row r="7" spans="1:8" x14ac:dyDescent="0.35">
      <c r="A7" t="s">
        <v>284</v>
      </c>
      <c r="B7">
        <v>187.5</v>
      </c>
      <c r="C7" t="s">
        <v>280</v>
      </c>
      <c r="E7" t="s">
        <v>157</v>
      </c>
      <c r="F7" s="20">
        <v>46525</v>
      </c>
      <c r="G7" t="s">
        <v>285</v>
      </c>
    </row>
    <row r="8" spans="1:8" x14ac:dyDescent="0.35">
      <c r="A8" t="s">
        <v>211</v>
      </c>
      <c r="B8">
        <v>6</v>
      </c>
      <c r="C8" t="s">
        <v>212</v>
      </c>
    </row>
    <row r="9" spans="1:8" x14ac:dyDescent="0.35">
      <c r="A9" t="s">
        <v>286</v>
      </c>
      <c r="B9">
        <v>1125</v>
      </c>
      <c r="C9" t="s">
        <v>191</v>
      </c>
    </row>
    <row r="10" spans="1:8" x14ac:dyDescent="0.35">
      <c r="A10" t="s">
        <v>221</v>
      </c>
      <c r="B10">
        <v>101</v>
      </c>
      <c r="C10" t="s">
        <v>113</v>
      </c>
    </row>
    <row r="11" spans="1:8" x14ac:dyDescent="0.35">
      <c r="A11" t="s">
        <v>287</v>
      </c>
      <c r="B11">
        <v>7.5</v>
      </c>
      <c r="C11" t="s">
        <v>234</v>
      </c>
    </row>
    <row r="12" spans="1:8" x14ac:dyDescent="0.35">
      <c r="A12" t="s">
        <v>236</v>
      </c>
      <c r="B12">
        <v>8</v>
      </c>
      <c r="C12" t="s">
        <v>237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Rendimientos y Cuadrillas</vt:lpstr>
      <vt:lpstr>Histograma 720 dias</vt:lpstr>
      <vt:lpstr>Curva S HH</vt:lpstr>
      <vt:lpstr>Recalculo roca fija</vt:lpstr>
      <vt:lpstr>Resumen actualizado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2026-09-27T16:17:50Z</dcterms:modified>
</cp:coreProperties>
</file>